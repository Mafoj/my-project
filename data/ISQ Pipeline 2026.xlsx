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2"/>
  <workbookPr updateLinks="always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artinfojtek/__AI_Coding/_DHL/05_Project_Pipeline/data/"/>
    </mc:Choice>
  </mc:AlternateContent>
  <xr:revisionPtr revIDLastSave="0" documentId="13_ncr:1_{AA50951E-2F8F-5947-BAF2-533AE03BB2BA}" xr6:coauthVersionLast="47" xr6:coauthVersionMax="47" xr10:uidLastSave="{00000000-0000-0000-0000-000000000000}"/>
  <bookViews>
    <workbookView xWindow="13400" yWindow="6560" windowWidth="30240" windowHeight="19640" xr2:uid="{2FE2297C-0A07-4B33-BC0D-8A32EA6787F9}"/>
  </bookViews>
  <sheets>
    <sheet name="Project List 2026" sheetId="7" r:id="rId1"/>
    <sheet name="Project documentation" sheetId="5" r:id="rId2"/>
    <sheet name="Individual Allocation" sheetId="10" r:id="rId3"/>
    <sheet name="Utilization Overview" sheetId="9" r:id="rId4"/>
    <sheet name="Detail1" sheetId="12" r:id="rId5"/>
    <sheet name="Statistics" sheetId="11" r:id="rId6"/>
    <sheet name="RefData" sheetId="4" r:id="rId7"/>
  </sheets>
  <definedNames>
    <definedName name="_xlnm._FilterDatabase" localSheetId="2" hidden="1">'Individual Allocation'!$A$2:$Y$127</definedName>
    <definedName name="_xlnm._FilterDatabase" localSheetId="1" hidden="1">'Project documentation'!$A$1:$AA$120</definedName>
    <definedName name="_xlnm._FilterDatabase" localSheetId="0" hidden="1">'Project List 2026'!$A$1:$P$190</definedName>
  </definedNames>
  <calcPr calcId="191028"/>
  <pivotCaches>
    <pivotCache cacheId="11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5" l="1"/>
  <c r="F120" i="5"/>
  <c r="B120" i="5"/>
  <c r="E120" i="5"/>
  <c r="D120" i="5"/>
  <c r="C120" i="5"/>
  <c r="D136" i="10"/>
  <c r="A136" i="10"/>
  <c r="L135" i="10"/>
  <c r="L134" i="10"/>
  <c r="L133" i="10"/>
  <c r="K136" i="10"/>
  <c r="K135" i="10"/>
  <c r="K134" i="10"/>
  <c r="K133" i="10"/>
  <c r="J136" i="10"/>
  <c r="J135" i="10"/>
  <c r="J134" i="10"/>
  <c r="J133" i="10"/>
  <c r="H136" i="10"/>
  <c r="H135" i="10"/>
  <c r="H134" i="10"/>
  <c r="H133" i="10"/>
  <c r="G136" i="10"/>
  <c r="G135" i="10"/>
  <c r="G134" i="10"/>
  <c r="G133" i="10"/>
  <c r="C136" i="10"/>
  <c r="B136" i="10"/>
  <c r="A135" i="10"/>
  <c r="B135" i="10"/>
  <c r="C135" i="10"/>
  <c r="D135" i="10"/>
  <c r="A134" i="10"/>
  <c r="B134" i="10"/>
  <c r="C134" i="10"/>
  <c r="D134" i="10"/>
  <c r="D133" i="10"/>
  <c r="C133" i="10"/>
  <c r="B133" i="10"/>
  <c r="A133" i="10"/>
  <c r="L132" i="10"/>
  <c r="K132" i="10"/>
  <c r="J132" i="10"/>
  <c r="H132" i="10"/>
  <c r="G132" i="10"/>
  <c r="D132" i="10"/>
  <c r="C132" i="10"/>
  <c r="B132" i="10"/>
  <c r="A132" i="10"/>
  <c r="L131" i="10"/>
  <c r="J131" i="10"/>
  <c r="H131" i="10"/>
  <c r="G131" i="10"/>
  <c r="D131" i="10"/>
  <c r="C131" i="10"/>
  <c r="B131" i="10"/>
  <c r="A131" i="10"/>
  <c r="O190" i="7"/>
  <c r="O187" i="7"/>
  <c r="O188" i="7"/>
  <c r="O189" i="7"/>
  <c r="F119" i="5"/>
  <c r="E119" i="5"/>
  <c r="D119" i="5"/>
  <c r="C119" i="5"/>
  <c r="B119" i="5"/>
  <c r="F118" i="5"/>
  <c r="E118" i="5"/>
  <c r="D118" i="5"/>
  <c r="C118" i="5"/>
  <c r="B118" i="5"/>
  <c r="G127" i="10"/>
  <c r="J127" i="10"/>
  <c r="G128" i="10"/>
  <c r="J128" i="10"/>
  <c r="G129" i="10"/>
  <c r="J129" i="10"/>
  <c r="G130" i="10"/>
  <c r="J130" i="10"/>
  <c r="G126" i="10"/>
  <c r="H129" i="10"/>
  <c r="K129" i="10"/>
  <c r="L129" i="10"/>
  <c r="H130" i="10"/>
  <c r="K130" i="10"/>
  <c r="L130" i="10"/>
  <c r="A130" i="10"/>
  <c r="B130" i="10"/>
  <c r="C130" i="10"/>
  <c r="D130" i="10"/>
  <c r="A129" i="10"/>
  <c r="B129" i="10"/>
  <c r="C129" i="10"/>
  <c r="D129" i="10"/>
  <c r="A127" i="10"/>
  <c r="A128" i="10"/>
  <c r="H128" i="10"/>
  <c r="K128" i="10"/>
  <c r="L128" i="10"/>
  <c r="B128" i="10"/>
  <c r="C128" i="10"/>
  <c r="D128" i="10"/>
  <c r="O181" i="7"/>
  <c r="O182" i="7"/>
  <c r="O183" i="7"/>
  <c r="O184" i="7"/>
  <c r="F114" i="5"/>
  <c r="F115" i="5"/>
  <c r="F116" i="5"/>
  <c r="F117" i="5"/>
  <c r="E114" i="5"/>
  <c r="E115" i="5"/>
  <c r="E116" i="5"/>
  <c r="E117" i="5"/>
  <c r="D114" i="5"/>
  <c r="D115" i="5"/>
  <c r="D116" i="5"/>
  <c r="D117" i="5"/>
  <c r="C114" i="5"/>
  <c r="C115" i="5"/>
  <c r="C116" i="5"/>
  <c r="C117" i="5"/>
  <c r="B114" i="5"/>
  <c r="B115" i="5"/>
  <c r="B116" i="5"/>
  <c r="B117" i="5"/>
  <c r="F109" i="5"/>
  <c r="F110" i="5"/>
  <c r="F111" i="5"/>
  <c r="F112" i="5"/>
  <c r="F113" i="5"/>
  <c r="E109" i="5"/>
  <c r="E110" i="5"/>
  <c r="E111" i="5"/>
  <c r="E112" i="5"/>
  <c r="E113" i="5"/>
  <c r="D109" i="5"/>
  <c r="D110" i="5"/>
  <c r="D111" i="5"/>
  <c r="D112" i="5"/>
  <c r="D113" i="5"/>
  <c r="C109" i="5"/>
  <c r="C110" i="5"/>
  <c r="C111" i="5"/>
  <c r="C112" i="5"/>
  <c r="C113" i="5"/>
  <c r="B109" i="5"/>
  <c r="B110" i="5"/>
  <c r="B111" i="5"/>
  <c r="B112" i="5"/>
  <c r="B113" i="5"/>
  <c r="O186" i="7"/>
  <c r="O185" i="7"/>
  <c r="L127" i="10"/>
  <c r="K127" i="10"/>
  <c r="H127" i="10"/>
  <c r="B127" i="10"/>
  <c r="C127" i="10"/>
  <c r="D127" i="10"/>
  <c r="L126" i="10"/>
  <c r="J126" i="10"/>
  <c r="H126" i="10"/>
  <c r="K126" i="10"/>
  <c r="A126" i="10"/>
  <c r="B126" i="10"/>
  <c r="C126" i="10"/>
  <c r="D126" i="10"/>
  <c r="L102" i="10"/>
  <c r="L125" i="10"/>
  <c r="K125" i="10"/>
  <c r="J125" i="10"/>
  <c r="H125" i="10"/>
  <c r="G125" i="10"/>
  <c r="D125" i="10"/>
  <c r="C125" i="10"/>
  <c r="B125" i="10"/>
  <c r="A125" i="10"/>
  <c r="L124" i="10"/>
  <c r="K124" i="10"/>
  <c r="J124" i="10"/>
  <c r="H124" i="10"/>
  <c r="G124" i="10"/>
  <c r="D124" i="10"/>
  <c r="C124" i="10"/>
  <c r="B124" i="10"/>
  <c r="A124" i="10"/>
  <c r="L123" i="10"/>
  <c r="K123" i="10"/>
  <c r="J123" i="10"/>
  <c r="H123" i="10"/>
  <c r="G123" i="10"/>
  <c r="D123" i="10"/>
  <c r="C123" i="10"/>
  <c r="B123" i="10"/>
  <c r="A123" i="10"/>
  <c r="K75" i="10"/>
  <c r="G121" i="10"/>
  <c r="H121" i="10"/>
  <c r="J121" i="10"/>
  <c r="K121" i="10"/>
  <c r="L121" i="10"/>
  <c r="G122" i="10"/>
  <c r="H122" i="10"/>
  <c r="J122" i="10"/>
  <c r="K122" i="10"/>
  <c r="L122" i="10"/>
  <c r="D122" i="10"/>
  <c r="C122" i="10"/>
  <c r="B122" i="10"/>
  <c r="A122" i="10"/>
  <c r="D121" i="10"/>
  <c r="C121" i="10"/>
  <c r="B121" i="10"/>
  <c r="A121" i="10"/>
  <c r="G120" i="10"/>
  <c r="H120" i="10"/>
  <c r="J120" i="10"/>
  <c r="K120" i="10"/>
  <c r="L120" i="10"/>
  <c r="A120" i="10"/>
  <c r="B120" i="10"/>
  <c r="C120" i="10"/>
  <c r="D120" i="10"/>
  <c r="O180" i="7"/>
  <c r="L119" i="10"/>
  <c r="K119" i="10"/>
  <c r="J119" i="10"/>
  <c r="H119" i="10"/>
  <c r="G119" i="10"/>
  <c r="L118" i="10"/>
  <c r="K118" i="10"/>
  <c r="J118" i="10"/>
  <c r="H118" i="10"/>
  <c r="G118" i="10"/>
  <c r="D119" i="10"/>
  <c r="C119" i="10"/>
  <c r="B119" i="10"/>
  <c r="A119" i="10"/>
  <c r="D118" i="10"/>
  <c r="C118" i="10"/>
  <c r="B118" i="10"/>
  <c r="A118" i="10"/>
  <c r="G111" i="10"/>
  <c r="H111" i="10"/>
  <c r="J111" i="10"/>
  <c r="K111" i="10"/>
  <c r="L111" i="10"/>
  <c r="G112" i="10"/>
  <c r="H112" i="10"/>
  <c r="J112" i="10"/>
  <c r="K112" i="10"/>
  <c r="L112" i="10"/>
  <c r="G113" i="10"/>
  <c r="H113" i="10"/>
  <c r="J113" i="10"/>
  <c r="K113" i="10"/>
  <c r="L113" i="10"/>
  <c r="G114" i="10"/>
  <c r="H114" i="10"/>
  <c r="J114" i="10"/>
  <c r="K114" i="10"/>
  <c r="L114" i="10"/>
  <c r="G115" i="10"/>
  <c r="H115" i="10"/>
  <c r="J115" i="10"/>
  <c r="K115" i="10"/>
  <c r="L115" i="10"/>
  <c r="G116" i="10"/>
  <c r="H116" i="10"/>
  <c r="J116" i="10"/>
  <c r="K116" i="10"/>
  <c r="L116" i="10"/>
  <c r="G117" i="10"/>
  <c r="H117" i="10"/>
  <c r="J117" i="10"/>
  <c r="K117" i="10"/>
  <c r="L117" i="10"/>
  <c r="A111" i="10"/>
  <c r="B111" i="10"/>
  <c r="C111" i="10"/>
  <c r="D111" i="10"/>
  <c r="A112" i="10"/>
  <c r="B112" i="10"/>
  <c r="C112" i="10"/>
  <c r="D112" i="10"/>
  <c r="A113" i="10"/>
  <c r="B113" i="10"/>
  <c r="C113" i="10"/>
  <c r="D113" i="10"/>
  <c r="A114" i="10"/>
  <c r="B114" i="10"/>
  <c r="C114" i="10"/>
  <c r="D114" i="10"/>
  <c r="A115" i="10"/>
  <c r="B115" i="10"/>
  <c r="C115" i="10"/>
  <c r="D115" i="10"/>
  <c r="A116" i="10"/>
  <c r="B116" i="10"/>
  <c r="C116" i="10"/>
  <c r="D116" i="10"/>
  <c r="A117" i="10"/>
  <c r="B117" i="10"/>
  <c r="C117" i="10"/>
  <c r="D117" i="10"/>
  <c r="O179" i="7"/>
  <c r="O178" i="7"/>
  <c r="F108" i="5"/>
  <c r="E108" i="5"/>
  <c r="D108" i="5"/>
  <c r="C108" i="5"/>
  <c r="B108" i="5"/>
  <c r="F107" i="5"/>
  <c r="E107" i="5"/>
  <c r="D107" i="5"/>
  <c r="C107" i="5"/>
  <c r="B107" i="5"/>
  <c r="F98" i="5"/>
  <c r="F99" i="5"/>
  <c r="F100" i="5"/>
  <c r="F101" i="5"/>
  <c r="F102" i="5"/>
  <c r="F103" i="5"/>
  <c r="F104" i="5"/>
  <c r="F105" i="5"/>
  <c r="F106" i="5"/>
  <c r="F89" i="5"/>
  <c r="F90" i="5"/>
  <c r="F91" i="5"/>
  <c r="F92" i="5"/>
  <c r="F93" i="5"/>
  <c r="F94" i="5"/>
  <c r="F95" i="5"/>
  <c r="F96" i="5"/>
  <c r="F97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81" i="5"/>
  <c r="E82" i="5"/>
  <c r="E83" i="5"/>
  <c r="E84" i="5"/>
  <c r="E85" i="5"/>
  <c r="E86" i="5"/>
  <c r="E87" i="5"/>
  <c r="E88" i="5"/>
  <c r="E89" i="5"/>
  <c r="E90" i="5"/>
  <c r="E91" i="5"/>
  <c r="E92" i="5"/>
  <c r="D97" i="5"/>
  <c r="D98" i="5"/>
  <c r="D99" i="5"/>
  <c r="D100" i="5"/>
  <c r="D101" i="5"/>
  <c r="D102" i="5"/>
  <c r="D103" i="5"/>
  <c r="D104" i="5"/>
  <c r="D105" i="5"/>
  <c r="D106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B98" i="5"/>
  <c r="B99" i="5"/>
  <c r="B100" i="5"/>
  <c r="B101" i="5"/>
  <c r="B102" i="5"/>
  <c r="B103" i="5"/>
  <c r="B104" i="5"/>
  <c r="B105" i="5"/>
  <c r="B106" i="5"/>
  <c r="B86" i="5"/>
  <c r="B87" i="5"/>
  <c r="B88" i="5"/>
  <c r="B89" i="5"/>
  <c r="B90" i="5"/>
  <c r="B91" i="5"/>
  <c r="B92" i="5"/>
  <c r="B93" i="5"/>
  <c r="B94" i="5"/>
  <c r="B95" i="5"/>
  <c r="B96" i="5"/>
  <c r="B97" i="5"/>
  <c r="B75" i="5"/>
  <c r="B76" i="5"/>
  <c r="B77" i="5"/>
  <c r="B78" i="5"/>
  <c r="B79" i="5"/>
  <c r="B80" i="5"/>
  <c r="B81" i="5"/>
  <c r="B82" i="5"/>
  <c r="B83" i="5"/>
  <c r="B84" i="5"/>
  <c r="B85" i="5"/>
  <c r="B66" i="5"/>
  <c r="B67" i="5"/>
  <c r="B68" i="5"/>
  <c r="B69" i="5"/>
  <c r="B70" i="5"/>
  <c r="B71" i="5"/>
  <c r="B72" i="5"/>
  <c r="B73" i="5"/>
  <c r="B74" i="5"/>
  <c r="C95" i="5"/>
  <c r="C96" i="5"/>
  <c r="C97" i="5"/>
  <c r="C98" i="5"/>
  <c r="C99" i="5"/>
  <c r="C100" i="5"/>
  <c r="C101" i="5"/>
  <c r="C102" i="5"/>
  <c r="C103" i="5"/>
  <c r="C104" i="5"/>
  <c r="C105" i="5"/>
  <c r="C106" i="5"/>
  <c r="C86" i="5"/>
  <c r="C87" i="5"/>
  <c r="C88" i="5"/>
  <c r="C89" i="5"/>
  <c r="C90" i="5"/>
  <c r="C91" i="5"/>
  <c r="C92" i="5"/>
  <c r="C93" i="5"/>
  <c r="C94" i="5"/>
  <c r="C78" i="5"/>
  <c r="C79" i="5"/>
  <c r="C80" i="5"/>
  <c r="C81" i="5"/>
  <c r="C82" i="5"/>
  <c r="C83" i="5"/>
  <c r="C84" i="5"/>
  <c r="C85" i="5"/>
  <c r="C69" i="5"/>
  <c r="C70" i="5"/>
  <c r="C71" i="5"/>
  <c r="C72" i="5"/>
  <c r="C73" i="5"/>
  <c r="C74" i="5"/>
  <c r="C75" i="5"/>
  <c r="C76" i="5"/>
  <c r="C77" i="5"/>
  <c r="C66" i="5"/>
  <c r="C67" i="5"/>
  <c r="C68" i="5"/>
  <c r="O177" i="7"/>
  <c r="J107" i="10"/>
  <c r="K107" i="10"/>
  <c r="L107" i="10"/>
  <c r="J108" i="10"/>
  <c r="K108" i="10"/>
  <c r="L108" i="10"/>
  <c r="J109" i="10"/>
  <c r="K109" i="10"/>
  <c r="L109" i="10"/>
  <c r="J110" i="10"/>
  <c r="K110" i="10"/>
  <c r="L110" i="10"/>
  <c r="G110" i="10"/>
  <c r="H110" i="10"/>
  <c r="O175" i="7"/>
  <c r="O176" i="7"/>
  <c r="A109" i="10"/>
  <c r="B109" i="10"/>
  <c r="C109" i="10"/>
  <c r="D109" i="10"/>
  <c r="A110" i="10"/>
  <c r="B110" i="10"/>
  <c r="C110" i="10"/>
  <c r="D110" i="10"/>
  <c r="H109" i="10"/>
  <c r="G109" i="10"/>
  <c r="H108" i="10"/>
  <c r="G108" i="10"/>
  <c r="A108" i="10"/>
  <c r="B108" i="10"/>
  <c r="C108" i="10"/>
  <c r="D108" i="10"/>
  <c r="A107" i="10"/>
  <c r="B107" i="10"/>
  <c r="H107" i="10"/>
  <c r="G107" i="10"/>
  <c r="D107" i="10"/>
  <c r="C107" i="10"/>
  <c r="L106" i="10"/>
  <c r="L105" i="10"/>
  <c r="K106" i="10"/>
  <c r="J106" i="10"/>
  <c r="H106" i="10"/>
  <c r="G106" i="10"/>
  <c r="D106" i="10"/>
  <c r="D105" i="10"/>
  <c r="A106" i="10"/>
  <c r="B106" i="10"/>
  <c r="C106" i="10"/>
  <c r="K105" i="10"/>
  <c r="J105" i="10"/>
  <c r="H105" i="10"/>
  <c r="G105" i="10"/>
  <c r="C105" i="10"/>
  <c r="A105" i="10"/>
  <c r="B105" i="10"/>
  <c r="D101" i="10"/>
  <c r="F39" i="5"/>
  <c r="O172" i="7"/>
  <c r="O173" i="7"/>
  <c r="O174" i="7"/>
  <c r="B38" i="5"/>
  <c r="B37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7" i="5"/>
  <c r="E33" i="5"/>
  <c r="E38" i="5"/>
  <c r="E35" i="5"/>
  <c r="E36" i="5"/>
  <c r="E39" i="5"/>
  <c r="E42" i="5"/>
  <c r="E43" i="5"/>
  <c r="E40" i="5"/>
  <c r="E41" i="5"/>
  <c r="E45" i="5"/>
  <c r="E46" i="5"/>
  <c r="E44" i="5"/>
  <c r="E47" i="5"/>
  <c r="E49" i="5"/>
  <c r="E50" i="5"/>
  <c r="E48" i="5"/>
  <c r="E51" i="5"/>
  <c r="E52" i="5"/>
  <c r="E53" i="5"/>
  <c r="E56" i="5"/>
  <c r="E59" i="5"/>
  <c r="E54" i="5"/>
  <c r="E55" i="5"/>
  <c r="E57" i="5"/>
  <c r="E58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32" i="5"/>
  <c r="E34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7" i="5"/>
  <c r="D33" i="5"/>
  <c r="D38" i="5"/>
  <c r="D35" i="5"/>
  <c r="D36" i="5"/>
  <c r="D39" i="5"/>
  <c r="D42" i="5"/>
  <c r="D43" i="5"/>
  <c r="D40" i="5"/>
  <c r="D41" i="5"/>
  <c r="D45" i="5"/>
  <c r="D46" i="5"/>
  <c r="D44" i="5"/>
  <c r="D47" i="5"/>
  <c r="D49" i="5"/>
  <c r="D50" i="5"/>
  <c r="D48" i="5"/>
  <c r="D51" i="5"/>
  <c r="D52" i="5"/>
  <c r="D53" i="5"/>
  <c r="D56" i="5"/>
  <c r="D59" i="5"/>
  <c r="D54" i="5"/>
  <c r="D55" i="5"/>
  <c r="D57" i="5"/>
  <c r="D58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32" i="5"/>
  <c r="D34" i="5"/>
  <c r="D2" i="5"/>
  <c r="C49" i="5"/>
  <c r="O170" i="7"/>
  <c r="O171" i="7"/>
  <c r="O169" i="7" l="1"/>
  <c r="O168" i="7"/>
  <c r="F53" i="5"/>
  <c r="C53" i="5"/>
  <c r="B53" i="5"/>
  <c r="O94" i="7" l="1"/>
  <c r="J59" i="10" s="1"/>
  <c r="O95" i="7"/>
  <c r="J60" i="10" s="1"/>
  <c r="Y33" i="10"/>
  <c r="L33" i="10"/>
  <c r="K33" i="10"/>
  <c r="H33" i="10"/>
  <c r="G33" i="10"/>
  <c r="D33" i="10"/>
  <c r="C33" i="10"/>
  <c r="B33" i="10"/>
  <c r="A33" i="10"/>
  <c r="O162" i="7"/>
  <c r="J33" i="10" s="1"/>
  <c r="O163" i="7"/>
  <c r="O164" i="7"/>
  <c r="O165" i="7"/>
  <c r="O166" i="7"/>
  <c r="O167" i="7"/>
  <c r="B45" i="5"/>
  <c r="C45" i="5"/>
  <c r="F45" i="5"/>
  <c r="C34" i="5"/>
  <c r="O161" i="7"/>
  <c r="O146" i="7"/>
  <c r="O147" i="7"/>
  <c r="O148" i="7"/>
  <c r="O149" i="7"/>
  <c r="O150" i="7"/>
  <c r="O151" i="7"/>
  <c r="O152" i="7"/>
  <c r="O160" i="7"/>
  <c r="F32" i="5"/>
  <c r="C32" i="5"/>
  <c r="L83" i="10"/>
  <c r="H83" i="10"/>
  <c r="L22" i="10"/>
  <c r="H22" i="10"/>
  <c r="Y82" i="10"/>
  <c r="Y83" i="10"/>
  <c r="Y66" i="10"/>
  <c r="Y55" i="10"/>
  <c r="Y56" i="10"/>
  <c r="Y51" i="10"/>
  <c r="Y41" i="10"/>
  <c r="Y31" i="10"/>
  <c r="Y21" i="10"/>
  <c r="Y22" i="10"/>
  <c r="Y20" i="10"/>
  <c r="L58" i="10"/>
  <c r="L59" i="10"/>
  <c r="L60" i="10"/>
  <c r="L61" i="10"/>
  <c r="L62" i="10"/>
  <c r="L65" i="10"/>
  <c r="L66" i="10"/>
  <c r="L63" i="10"/>
  <c r="L64" i="10"/>
  <c r="L67" i="10"/>
  <c r="L71" i="10"/>
  <c r="L72" i="10"/>
  <c r="L68" i="10"/>
  <c r="L69" i="10"/>
  <c r="L76" i="10"/>
  <c r="L77" i="10"/>
  <c r="L74" i="10"/>
  <c r="L75" i="10"/>
  <c r="L78" i="10"/>
  <c r="L81" i="10"/>
  <c r="L82" i="10"/>
  <c r="L84" i="10"/>
  <c r="L85" i="10"/>
  <c r="L86" i="10"/>
  <c r="L87" i="10"/>
  <c r="L88" i="10"/>
  <c r="L89" i="10"/>
  <c r="L90" i="10"/>
  <c r="L91" i="10"/>
  <c r="L92" i="10"/>
  <c r="L79" i="10"/>
  <c r="L80" i="10"/>
  <c r="L70" i="10"/>
  <c r="L73" i="10"/>
  <c r="L32" i="10"/>
  <c r="L21" i="10"/>
  <c r="L93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31" i="10"/>
  <c r="L34" i="10"/>
  <c r="L35" i="10"/>
  <c r="L36" i="10"/>
  <c r="L37" i="10"/>
  <c r="L38" i="10"/>
  <c r="L39" i="10"/>
  <c r="L40" i="10"/>
  <c r="L41" i="10"/>
  <c r="L28" i="10"/>
  <c r="L29" i="10"/>
  <c r="L30" i="10"/>
  <c r="L26" i="10"/>
  <c r="L27" i="10"/>
  <c r="L23" i="10"/>
  <c r="L24" i="10"/>
  <c r="L25" i="10"/>
  <c r="L20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3" i="10"/>
  <c r="K24" i="10"/>
  <c r="K25" i="10"/>
  <c r="K26" i="10"/>
  <c r="K27" i="10"/>
  <c r="K28" i="10"/>
  <c r="K29" i="10"/>
  <c r="K30" i="10"/>
  <c r="K31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5" i="10"/>
  <c r="K66" i="10"/>
  <c r="K63" i="10"/>
  <c r="K64" i="10"/>
  <c r="K67" i="10"/>
  <c r="K71" i="10"/>
  <c r="K72" i="10"/>
  <c r="K68" i="10"/>
  <c r="K69" i="10"/>
  <c r="K76" i="10"/>
  <c r="K77" i="10"/>
  <c r="K74" i="10"/>
  <c r="K78" i="10"/>
  <c r="K81" i="10"/>
  <c r="K82" i="10"/>
  <c r="K84" i="10"/>
  <c r="K85" i="10"/>
  <c r="K86" i="10"/>
  <c r="K87" i="10"/>
  <c r="K88" i="10"/>
  <c r="K89" i="10"/>
  <c r="K90" i="10"/>
  <c r="K91" i="10"/>
  <c r="K92" i="10"/>
  <c r="K79" i="10"/>
  <c r="K80" i="10"/>
  <c r="K70" i="10"/>
  <c r="K73" i="10"/>
  <c r="K32" i="10"/>
  <c r="K21" i="10"/>
  <c r="K93" i="10"/>
  <c r="K94" i="10"/>
  <c r="K95" i="10"/>
  <c r="K96" i="10"/>
  <c r="K97" i="10"/>
  <c r="K98" i="10"/>
  <c r="K99" i="10"/>
  <c r="K100" i="10"/>
  <c r="K101" i="10"/>
  <c r="K103" i="10"/>
  <c r="K104" i="10"/>
  <c r="K83" i="10"/>
  <c r="K3" i="10"/>
  <c r="J12" i="10"/>
  <c r="J52" i="10"/>
  <c r="J53" i="10"/>
  <c r="J63" i="10"/>
  <c r="J68" i="10"/>
  <c r="J69" i="10"/>
  <c r="J74" i="10"/>
  <c r="J75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3" i="10"/>
  <c r="H24" i="10"/>
  <c r="H25" i="10"/>
  <c r="H26" i="10"/>
  <c r="H27" i="10"/>
  <c r="H28" i="10"/>
  <c r="H29" i="10"/>
  <c r="H30" i="10"/>
  <c r="H31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5" i="10"/>
  <c r="H66" i="10"/>
  <c r="H63" i="10"/>
  <c r="H64" i="10"/>
  <c r="H67" i="10"/>
  <c r="H71" i="10"/>
  <c r="H72" i="10"/>
  <c r="H68" i="10"/>
  <c r="H69" i="10"/>
  <c r="H76" i="10"/>
  <c r="H77" i="10"/>
  <c r="H74" i="10"/>
  <c r="H75" i="10"/>
  <c r="H78" i="10"/>
  <c r="H81" i="10"/>
  <c r="H82" i="10"/>
  <c r="H84" i="10"/>
  <c r="H85" i="10"/>
  <c r="H86" i="10"/>
  <c r="H87" i="10"/>
  <c r="H88" i="10"/>
  <c r="H89" i="10"/>
  <c r="H90" i="10"/>
  <c r="H91" i="10"/>
  <c r="H92" i="10"/>
  <c r="H79" i="10"/>
  <c r="H80" i="10"/>
  <c r="H70" i="10"/>
  <c r="H73" i="10"/>
  <c r="H32" i="10"/>
  <c r="H21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3" i="10"/>
  <c r="G24" i="10"/>
  <c r="G25" i="10"/>
  <c r="G26" i="10"/>
  <c r="G27" i="10"/>
  <c r="G28" i="10"/>
  <c r="G29" i="10"/>
  <c r="G30" i="10"/>
  <c r="G31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5" i="10"/>
  <c r="G66" i="10"/>
  <c r="G63" i="10"/>
  <c r="G64" i="10"/>
  <c r="G67" i="10"/>
  <c r="G71" i="10"/>
  <c r="G72" i="10"/>
  <c r="G68" i="10"/>
  <c r="G69" i="10"/>
  <c r="G76" i="10"/>
  <c r="G77" i="10"/>
  <c r="G74" i="10"/>
  <c r="G75" i="10"/>
  <c r="G78" i="10"/>
  <c r="G81" i="10"/>
  <c r="G82" i="10"/>
  <c r="G84" i="10"/>
  <c r="G85" i="10"/>
  <c r="G86" i="10"/>
  <c r="G87" i="10"/>
  <c r="G88" i="10"/>
  <c r="G89" i="10"/>
  <c r="G90" i="10"/>
  <c r="G91" i="10"/>
  <c r="G92" i="10"/>
  <c r="G79" i="10"/>
  <c r="G80" i="10"/>
  <c r="G70" i="10"/>
  <c r="G73" i="10"/>
  <c r="G32" i="10"/>
  <c r="G21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22" i="10"/>
  <c r="G83" i="10"/>
  <c r="G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3" i="10"/>
  <c r="D24" i="10"/>
  <c r="D25" i="10"/>
  <c r="D26" i="10"/>
  <c r="D27" i="10"/>
  <c r="D28" i="10"/>
  <c r="D29" i="10"/>
  <c r="D30" i="10"/>
  <c r="D31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5" i="10"/>
  <c r="D66" i="10"/>
  <c r="D63" i="10"/>
  <c r="D64" i="10"/>
  <c r="D67" i="10"/>
  <c r="D71" i="10"/>
  <c r="D72" i="10"/>
  <c r="D68" i="10"/>
  <c r="D69" i="10"/>
  <c r="D76" i="10"/>
  <c r="D77" i="10"/>
  <c r="D74" i="10"/>
  <c r="D75" i="10"/>
  <c r="D78" i="10"/>
  <c r="D81" i="10"/>
  <c r="D82" i="10"/>
  <c r="D84" i="10"/>
  <c r="D85" i="10"/>
  <c r="D86" i="10"/>
  <c r="D87" i="10"/>
  <c r="D88" i="10"/>
  <c r="D89" i="10"/>
  <c r="D90" i="10"/>
  <c r="D91" i="10"/>
  <c r="D92" i="10"/>
  <c r="D79" i="10"/>
  <c r="D80" i="10"/>
  <c r="D70" i="10"/>
  <c r="D73" i="10"/>
  <c r="D32" i="10"/>
  <c r="D21" i="10"/>
  <c r="D93" i="10"/>
  <c r="D94" i="10"/>
  <c r="D95" i="10"/>
  <c r="D96" i="10"/>
  <c r="D97" i="10"/>
  <c r="D98" i="10"/>
  <c r="D99" i="10"/>
  <c r="D100" i="10"/>
  <c r="D102" i="10"/>
  <c r="D103" i="10"/>
  <c r="D104" i="10"/>
  <c r="D22" i="10"/>
  <c r="D83" i="10"/>
  <c r="D3" i="10"/>
  <c r="C3" i="10"/>
  <c r="C4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3" i="10"/>
  <c r="B24" i="10"/>
  <c r="B25" i="10"/>
  <c r="B26" i="10"/>
  <c r="B27" i="10"/>
  <c r="B28" i="10"/>
  <c r="B29" i="10"/>
  <c r="B30" i="10"/>
  <c r="B31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5" i="10"/>
  <c r="B66" i="10"/>
  <c r="B63" i="10"/>
  <c r="B64" i="10"/>
  <c r="B67" i="10"/>
  <c r="B71" i="10"/>
  <c r="B72" i="10"/>
  <c r="B68" i="10"/>
  <c r="B69" i="10"/>
  <c r="B76" i="10"/>
  <c r="B77" i="10"/>
  <c r="B74" i="10"/>
  <c r="B75" i="10"/>
  <c r="B78" i="10"/>
  <c r="B81" i="10"/>
  <c r="B82" i="10"/>
  <c r="B84" i="10"/>
  <c r="B85" i="10"/>
  <c r="B86" i="10"/>
  <c r="B87" i="10"/>
  <c r="B88" i="10"/>
  <c r="B89" i="10"/>
  <c r="B90" i="10"/>
  <c r="B91" i="10"/>
  <c r="B92" i="10"/>
  <c r="B79" i="10"/>
  <c r="B80" i="10"/>
  <c r="B70" i="10"/>
  <c r="B73" i="10"/>
  <c r="B32" i="10"/>
  <c r="B21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22" i="10"/>
  <c r="B83" i="10"/>
  <c r="B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3" i="10"/>
  <c r="A24" i="10"/>
  <c r="A25" i="10"/>
  <c r="A26" i="10"/>
  <c r="A27" i="10"/>
  <c r="A28" i="10"/>
  <c r="A29" i="10"/>
  <c r="A30" i="10"/>
  <c r="A31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5" i="10"/>
  <c r="A66" i="10"/>
  <c r="A63" i="10"/>
  <c r="A64" i="10"/>
  <c r="A67" i="10"/>
  <c r="A71" i="10"/>
  <c r="A72" i="10"/>
  <c r="A68" i="10"/>
  <c r="A69" i="10"/>
  <c r="A76" i="10"/>
  <c r="A77" i="10"/>
  <c r="A74" i="10"/>
  <c r="A75" i="10"/>
  <c r="A78" i="10"/>
  <c r="A81" i="10"/>
  <c r="A82" i="10"/>
  <c r="A84" i="10"/>
  <c r="A85" i="10"/>
  <c r="A86" i="10"/>
  <c r="A87" i="10"/>
  <c r="A88" i="10"/>
  <c r="A89" i="10"/>
  <c r="A90" i="10"/>
  <c r="A91" i="10"/>
  <c r="A92" i="10"/>
  <c r="A79" i="10"/>
  <c r="A80" i="10"/>
  <c r="A70" i="10"/>
  <c r="A73" i="10"/>
  <c r="A32" i="10"/>
  <c r="A21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22" i="10"/>
  <c r="A83" i="10"/>
  <c r="A3" i="10"/>
  <c r="O142" i="7"/>
  <c r="O143" i="7"/>
  <c r="O144" i="7"/>
  <c r="O145" i="7"/>
  <c r="O153" i="7"/>
  <c r="O154" i="7"/>
  <c r="O155" i="7"/>
  <c r="O156" i="7"/>
  <c r="O157" i="7"/>
  <c r="O158" i="7"/>
  <c r="O159" i="7"/>
  <c r="O141" i="7"/>
  <c r="O140" i="7"/>
  <c r="O139" i="7"/>
  <c r="O138" i="7"/>
  <c r="O79" i="7"/>
  <c r="O80" i="7"/>
  <c r="O78" i="7"/>
  <c r="F49" i="5"/>
  <c r="O19" i="7"/>
  <c r="J10" i="10" s="1"/>
  <c r="O136" i="7"/>
  <c r="O137" i="7"/>
  <c r="J13" i="10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3" i="5"/>
  <c r="B35" i="5"/>
  <c r="B36" i="5"/>
  <c r="B39" i="5"/>
  <c r="B42" i="5"/>
  <c r="B43" i="5"/>
  <c r="B40" i="5"/>
  <c r="B41" i="5"/>
  <c r="B46" i="5"/>
  <c r="B44" i="5"/>
  <c r="B47" i="5"/>
  <c r="B49" i="5"/>
  <c r="B50" i="5"/>
  <c r="B48" i="5"/>
  <c r="B51" i="5"/>
  <c r="B52" i="5"/>
  <c r="B56" i="5"/>
  <c r="B59" i="5"/>
  <c r="B54" i="5"/>
  <c r="B55" i="5"/>
  <c r="B57" i="5"/>
  <c r="B58" i="5"/>
  <c r="B60" i="5"/>
  <c r="B61" i="5"/>
  <c r="B62" i="5"/>
  <c r="B63" i="5"/>
  <c r="B64" i="5"/>
  <c r="B65" i="5"/>
  <c r="B2" i="5"/>
  <c r="O135" i="7"/>
  <c r="F47" i="5"/>
  <c r="C47" i="5"/>
  <c r="C38" i="5"/>
  <c r="F38" i="5"/>
  <c r="F58" i="5"/>
  <c r="C58" i="5"/>
  <c r="F57" i="5"/>
  <c r="C57" i="5"/>
  <c r="O116" i="7"/>
  <c r="O55" i="7"/>
  <c r="J20" i="10" s="1"/>
  <c r="O97" i="7"/>
  <c r="O58" i="7"/>
  <c r="J26" i="10" s="1"/>
  <c r="O124" i="7"/>
  <c r="J82" i="10" s="1"/>
  <c r="O105" i="7"/>
  <c r="O59" i="7"/>
  <c r="O89" i="7"/>
  <c r="J51" i="10" s="1"/>
  <c r="O66" i="7"/>
  <c r="J31" i="10" s="1"/>
  <c r="O111" i="7"/>
  <c r="J73" i="10" s="1"/>
  <c r="O120" i="7"/>
  <c r="F73" i="5"/>
  <c r="F67" i="5"/>
  <c r="F20" i="5"/>
  <c r="C20" i="5"/>
  <c r="F41" i="5"/>
  <c r="C41" i="5"/>
  <c r="F42" i="5"/>
  <c r="F52" i="5"/>
  <c r="C42" i="5"/>
  <c r="C52" i="5"/>
  <c r="F19" i="5"/>
  <c r="F54" i="5"/>
  <c r="C19" i="5"/>
  <c r="C39" i="5"/>
  <c r="C54" i="5"/>
  <c r="F64" i="5"/>
  <c r="C64" i="5"/>
  <c r="C6" i="5"/>
  <c r="C83" i="10"/>
  <c r="C22" i="10"/>
  <c r="C61" i="10"/>
  <c r="C31" i="10"/>
  <c r="C41" i="10"/>
  <c r="C51" i="10"/>
  <c r="C27" i="10"/>
  <c r="C56" i="10"/>
  <c r="C55" i="10"/>
  <c r="C66" i="10"/>
  <c r="C82" i="10"/>
  <c r="C26" i="10"/>
  <c r="C20" i="10"/>
  <c r="F35" i="5"/>
  <c r="F3" i="5"/>
  <c r="F4" i="5"/>
  <c r="F5" i="5"/>
  <c r="F7" i="5"/>
  <c r="F8" i="5"/>
  <c r="F9" i="5"/>
  <c r="F10" i="5"/>
  <c r="F11" i="5"/>
  <c r="F12" i="5"/>
  <c r="F13" i="5"/>
  <c r="F14" i="5"/>
  <c r="F15" i="5"/>
  <c r="F16" i="5"/>
  <c r="F17" i="5"/>
  <c r="F18" i="5"/>
  <c r="F21" i="5"/>
  <c r="F22" i="5"/>
  <c r="F23" i="5"/>
  <c r="F24" i="5"/>
  <c r="F25" i="5"/>
  <c r="F26" i="5"/>
  <c r="F27" i="5"/>
  <c r="F28" i="5"/>
  <c r="F29" i="5"/>
  <c r="F30" i="5"/>
  <c r="F31" i="5"/>
  <c r="F46" i="5"/>
  <c r="F37" i="5"/>
  <c r="F33" i="5"/>
  <c r="F36" i="5"/>
  <c r="F43" i="5"/>
  <c r="F40" i="5"/>
  <c r="F44" i="5"/>
  <c r="F50" i="5"/>
  <c r="F51" i="5"/>
  <c r="F56" i="5"/>
  <c r="F59" i="5"/>
  <c r="F55" i="5"/>
  <c r="F60" i="5"/>
  <c r="F61" i="5"/>
  <c r="F62" i="5"/>
  <c r="F63" i="5"/>
  <c r="F65" i="5"/>
  <c r="F66" i="5"/>
  <c r="F68" i="5"/>
  <c r="F71" i="5"/>
  <c r="F72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2" i="5"/>
  <c r="C3" i="5"/>
  <c r="C4" i="5"/>
  <c r="C7" i="5"/>
  <c r="C8" i="5"/>
  <c r="C9" i="5"/>
  <c r="C10" i="5"/>
  <c r="C11" i="5"/>
  <c r="C12" i="5"/>
  <c r="C13" i="5"/>
  <c r="C14" i="5"/>
  <c r="C15" i="5"/>
  <c r="C16" i="5"/>
  <c r="C17" i="5"/>
  <c r="C18" i="5"/>
  <c r="C21" i="5"/>
  <c r="C22" i="5"/>
  <c r="C23" i="5"/>
  <c r="C24" i="5"/>
  <c r="C25" i="5"/>
  <c r="C26" i="5"/>
  <c r="C27" i="5"/>
  <c r="C28" i="5"/>
  <c r="C29" i="5"/>
  <c r="C30" i="5"/>
  <c r="C31" i="5"/>
  <c r="C46" i="5"/>
  <c r="C37" i="5"/>
  <c r="C33" i="5"/>
  <c r="C35" i="5"/>
  <c r="C36" i="5"/>
  <c r="C43" i="5"/>
  <c r="C40" i="5"/>
  <c r="C44" i="5"/>
  <c r="C50" i="5"/>
  <c r="C48" i="5"/>
  <c r="C51" i="5"/>
  <c r="C56" i="5"/>
  <c r="C59" i="5"/>
  <c r="C55" i="5"/>
  <c r="C60" i="5"/>
  <c r="C61" i="5"/>
  <c r="C62" i="5"/>
  <c r="C63" i="5"/>
  <c r="C65" i="5"/>
  <c r="C2" i="5"/>
  <c r="J56" i="10" l="1"/>
  <c r="J27" i="10"/>
  <c r="J66" i="10"/>
  <c r="J55" i="10"/>
  <c r="Y104" i="10"/>
  <c r="J104" i="10"/>
  <c r="C104" i="10"/>
  <c r="Y103" i="10"/>
  <c r="L103" i="10"/>
  <c r="J103" i="10"/>
  <c r="C103" i="10"/>
  <c r="Y102" i="10"/>
  <c r="J102" i="10"/>
  <c r="C102" i="10"/>
  <c r="Y101" i="10"/>
  <c r="L101" i="10"/>
  <c r="J101" i="10"/>
  <c r="C101" i="10"/>
  <c r="Y100" i="10"/>
  <c r="L100" i="10"/>
  <c r="J100" i="10"/>
  <c r="C100" i="10"/>
  <c r="Y99" i="10"/>
  <c r="L99" i="10"/>
  <c r="J99" i="10"/>
  <c r="C99" i="10"/>
  <c r="Y98" i="10"/>
  <c r="L98" i="10"/>
  <c r="J98" i="10"/>
  <c r="C98" i="10"/>
  <c r="Y97" i="10"/>
  <c r="L97" i="10"/>
  <c r="J97" i="10"/>
  <c r="C97" i="10"/>
  <c r="Y96" i="10"/>
  <c r="L96" i="10"/>
  <c r="J96" i="10"/>
  <c r="C96" i="10"/>
  <c r="Y95" i="10"/>
  <c r="L95" i="10"/>
  <c r="J95" i="10"/>
  <c r="C95" i="10"/>
  <c r="Y94" i="10"/>
  <c r="L94" i="10"/>
  <c r="J94" i="10"/>
  <c r="C94" i="10"/>
  <c r="Y93" i="10"/>
  <c r="C93" i="10"/>
  <c r="C21" i="10"/>
  <c r="Y32" i="10"/>
  <c r="Y73" i="10"/>
  <c r="C73" i="10"/>
  <c r="Y70" i="10"/>
  <c r="C70" i="10"/>
  <c r="Y77" i="10"/>
  <c r="C77" i="10"/>
  <c r="Y7" i="10"/>
  <c r="C7" i="10"/>
  <c r="Y11" i="10"/>
  <c r="C11" i="10"/>
  <c r="Y10" i="10"/>
  <c r="C10" i="10"/>
  <c r="Y61" i="10"/>
  <c r="Y19" i="10"/>
  <c r="Y92" i="10"/>
  <c r="Y91" i="10"/>
  <c r="C91" i="10"/>
  <c r="Y90" i="10"/>
  <c r="C90" i="10"/>
  <c r="Y89" i="10"/>
  <c r="C89" i="10"/>
  <c r="Y88" i="10"/>
  <c r="C88" i="10"/>
  <c r="Y87" i="10"/>
  <c r="C87" i="10"/>
  <c r="Y86" i="10"/>
  <c r="C86" i="10"/>
  <c r="Y85" i="10"/>
  <c r="C85" i="10"/>
  <c r="Y84" i="10"/>
  <c r="C84" i="10"/>
  <c r="Y81" i="10"/>
  <c r="C81" i="10"/>
  <c r="Y80" i="10"/>
  <c r="C80" i="10"/>
  <c r="Y79" i="10"/>
  <c r="C79" i="10"/>
  <c r="Y78" i="10"/>
  <c r="C78" i="10"/>
  <c r="Y76" i="10"/>
  <c r="C76" i="10"/>
  <c r="Y75" i="10"/>
  <c r="C75" i="10"/>
  <c r="Y74" i="10"/>
  <c r="C74" i="10"/>
  <c r="Y72" i="10"/>
  <c r="C72" i="10"/>
  <c r="Y71" i="10"/>
  <c r="C71" i="10"/>
  <c r="Y69" i="10"/>
  <c r="C69" i="10"/>
  <c r="Y68" i="10"/>
  <c r="C68" i="10"/>
  <c r="Y67" i="10"/>
  <c r="C67" i="10"/>
  <c r="Y65" i="10"/>
  <c r="C65" i="10"/>
  <c r="Y64" i="10"/>
  <c r="C64" i="10"/>
  <c r="Y63" i="10"/>
  <c r="C63" i="10"/>
  <c r="Y62" i="10"/>
  <c r="C62" i="10"/>
  <c r="Y60" i="10"/>
  <c r="C60" i="10"/>
  <c r="Y59" i="10"/>
  <c r="C59" i="10"/>
  <c r="Y58" i="10"/>
  <c r="C58" i="10"/>
  <c r="Y57" i="10"/>
  <c r="C57" i="10"/>
  <c r="Y54" i="10"/>
  <c r="C54" i="10"/>
  <c r="Y53" i="10"/>
  <c r="C53" i="10"/>
  <c r="Y52" i="10"/>
  <c r="C52" i="10"/>
  <c r="Y50" i="10"/>
  <c r="C50" i="10"/>
  <c r="Y49" i="10"/>
  <c r="C49" i="10"/>
  <c r="Y48" i="10"/>
  <c r="C48" i="10"/>
  <c r="Y47" i="10"/>
  <c r="C47" i="10"/>
  <c r="Y46" i="10"/>
  <c r="C46" i="10"/>
  <c r="Y45" i="10"/>
  <c r="C45" i="10"/>
  <c r="Y44" i="10"/>
  <c r="C44" i="10"/>
  <c r="Y43" i="10"/>
  <c r="C43" i="10"/>
  <c r="Y42" i="10"/>
  <c r="C42" i="10"/>
  <c r="Y40" i="10"/>
  <c r="C40" i="10"/>
  <c r="Y39" i="10"/>
  <c r="C39" i="10"/>
  <c r="Y38" i="10"/>
  <c r="C38" i="10"/>
  <c r="Y37" i="10"/>
  <c r="C37" i="10"/>
  <c r="Y36" i="10"/>
  <c r="C36" i="10"/>
  <c r="Y35" i="10"/>
  <c r="C35" i="10"/>
  <c r="Y34" i="10"/>
  <c r="C34" i="10"/>
  <c r="Y30" i="10"/>
  <c r="C30" i="10"/>
  <c r="Y29" i="10"/>
  <c r="C29" i="10"/>
  <c r="Y28" i="10"/>
  <c r="C28" i="10"/>
  <c r="Y24" i="10"/>
  <c r="C24" i="10"/>
  <c r="Y23" i="10"/>
  <c r="C23" i="10"/>
  <c r="Y18" i="10"/>
  <c r="C18" i="10"/>
  <c r="Y17" i="10"/>
  <c r="C17" i="10"/>
  <c r="Y16" i="10"/>
  <c r="C16" i="10"/>
  <c r="Y15" i="10"/>
  <c r="C15" i="10"/>
  <c r="Y14" i="10"/>
  <c r="C14" i="10"/>
  <c r="Y13" i="10"/>
  <c r="C13" i="10"/>
  <c r="Y12" i="10"/>
  <c r="C12" i="10"/>
  <c r="Y9" i="10"/>
  <c r="C9" i="10"/>
  <c r="Y8" i="10"/>
  <c r="C8" i="10"/>
  <c r="Y6" i="10"/>
  <c r="C6" i="10"/>
  <c r="Y5" i="10"/>
  <c r="C5" i="10"/>
  <c r="Y4" i="10"/>
  <c r="Y3" i="10"/>
  <c r="O57" i="7"/>
  <c r="O104" i="7"/>
  <c r="O96" i="7"/>
  <c r="J61" i="10" s="1"/>
  <c r="O9" i="7"/>
  <c r="J11" i="10" s="1"/>
  <c r="O6" i="7"/>
  <c r="J7" i="10" s="1"/>
  <c r="O121" i="7"/>
  <c r="O69" i="7"/>
  <c r="O131" i="7"/>
  <c r="J90" i="10" s="1"/>
  <c r="O8" i="7"/>
  <c r="J9" i="10" s="1"/>
  <c r="O54" i="7"/>
  <c r="J22" i="10" s="1"/>
  <c r="O81" i="7"/>
  <c r="J41" i="10" s="1"/>
  <c r="O17" i="7"/>
  <c r="O49" i="7"/>
  <c r="O115" i="7"/>
  <c r="J79" i="10" s="1"/>
  <c r="O68" i="7"/>
  <c r="O130" i="7"/>
  <c r="J89" i="10" s="1"/>
  <c r="O129" i="7"/>
  <c r="J88" i="10" s="1"/>
  <c r="O128" i="7"/>
  <c r="J87" i="10" s="1"/>
  <c r="O127" i="7"/>
  <c r="J86" i="10" s="1"/>
  <c r="O126" i="7"/>
  <c r="J85" i="10" s="1"/>
  <c r="O125" i="7"/>
  <c r="J84" i="10" s="1"/>
  <c r="O7" i="7"/>
  <c r="J8" i="10" s="1"/>
  <c r="O73" i="7"/>
  <c r="J38" i="10" s="1"/>
  <c r="O72" i="7"/>
  <c r="J37" i="10" s="1"/>
  <c r="O87" i="7"/>
  <c r="J48" i="10" s="1"/>
  <c r="O86" i="7"/>
  <c r="J47" i="10" s="1"/>
  <c r="O93" i="7"/>
  <c r="J57" i="10" s="1"/>
  <c r="O82" i="7"/>
  <c r="O5" i="7"/>
  <c r="J6" i="10" s="1"/>
  <c r="O52" i="7"/>
  <c r="J16" i="10" s="1"/>
  <c r="O51" i="7"/>
  <c r="J15" i="10" s="1"/>
  <c r="O110" i="7"/>
  <c r="J72" i="10" s="1"/>
  <c r="O109" i="7"/>
  <c r="J71" i="10" s="1"/>
  <c r="O119" i="7"/>
  <c r="J77" i="10" s="1"/>
  <c r="O16" i="7"/>
  <c r="O15" i="7"/>
  <c r="O14" i="7"/>
  <c r="O48" i="7"/>
  <c r="O47" i="7"/>
  <c r="O46" i="7"/>
  <c r="O45" i="7"/>
  <c r="O44" i="7"/>
  <c r="O43" i="7"/>
  <c r="O42" i="7"/>
  <c r="O41" i="7"/>
  <c r="O13" i="7"/>
  <c r="O114" i="7"/>
  <c r="J78" i="10" s="1"/>
  <c r="O106" i="7"/>
  <c r="J67" i="10" s="1"/>
  <c r="O100" i="7"/>
  <c r="O99" i="7"/>
  <c r="J64" i="10" s="1"/>
  <c r="O40" i="7"/>
  <c r="O39" i="7"/>
  <c r="O12" i="7"/>
  <c r="O134" i="7"/>
  <c r="O133" i="7"/>
  <c r="O118" i="7"/>
  <c r="O53" i="7"/>
  <c r="J19" i="10" s="1"/>
  <c r="O117" i="7"/>
  <c r="O56" i="7"/>
  <c r="J25" i="10" s="1"/>
  <c r="O65" i="7"/>
  <c r="J30" i="10" s="1"/>
  <c r="O92" i="7"/>
  <c r="J58" i="10" s="1"/>
  <c r="O71" i="7"/>
  <c r="J36" i="10" s="1"/>
  <c r="O70" i="7"/>
  <c r="J35" i="10" s="1"/>
  <c r="O85" i="7"/>
  <c r="J45" i="10" s="1"/>
  <c r="O84" i="7"/>
  <c r="J46" i="10" s="1"/>
  <c r="O4" i="7"/>
  <c r="J5" i="10" s="1"/>
  <c r="O75" i="7"/>
  <c r="O38" i="7"/>
  <c r="O37" i="7"/>
  <c r="O77" i="7"/>
  <c r="O76" i="7"/>
  <c r="O11" i="7"/>
  <c r="O36" i="7"/>
  <c r="O74" i="7"/>
  <c r="O103" i="7"/>
  <c r="O102" i="7"/>
  <c r="O83" i="7"/>
  <c r="J83" i="10" s="1"/>
  <c r="O88" i="7"/>
  <c r="J49" i="10" s="1"/>
  <c r="O3" i="7"/>
  <c r="J4" i="10" s="1"/>
  <c r="O2" i="7"/>
  <c r="J3" i="10" s="1"/>
  <c r="O50" i="7"/>
  <c r="J14" i="10" s="1"/>
  <c r="O132" i="7"/>
  <c r="J91" i="10" s="1"/>
  <c r="O123" i="7"/>
  <c r="O122" i="7"/>
  <c r="O101" i="7"/>
  <c r="J65" i="10" s="1"/>
  <c r="O64" i="7"/>
  <c r="O63" i="7"/>
  <c r="O62" i="7"/>
  <c r="O61" i="7"/>
  <c r="O60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10" i="7"/>
  <c r="O22" i="7"/>
  <c r="O21" i="7"/>
  <c r="O20" i="7"/>
  <c r="O67" i="7"/>
  <c r="J40" i="10" l="1"/>
  <c r="J50" i="10"/>
  <c r="J29" i="10"/>
  <c r="J76" i="10"/>
  <c r="J92" i="10"/>
  <c r="J32" i="10"/>
  <c r="J39" i="10"/>
  <c r="J81" i="10"/>
  <c r="J62" i="10"/>
  <c r="J34" i="10"/>
  <c r="J18" i="10"/>
  <c r="J23" i="10"/>
  <c r="J28" i="10"/>
  <c r="J54" i="10"/>
  <c r="J70" i="10"/>
  <c r="J80" i="10"/>
  <c r="J43" i="10"/>
  <c r="J93" i="10"/>
  <c r="J21" i="10"/>
  <c r="J44" i="10"/>
  <c r="J24" i="10"/>
  <c r="J17" i="10"/>
  <c r="J4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tc={2B8FCEF3-0562-4643-AC3A-F2963A07C0CF}</author>
    <author>tc={642F36B3-A5C6-4B39-8D98-74ADCF3B5920}</author>
  </authors>
  <commentList>
    <comment ref="B78" authorId="0" shapeId="0" xr:uid="{2B8FCEF3-0562-4643-AC3A-F2963A07C0CF}">
      <text>
        <t>[Threaded comment]
Your version of Excel allows you to read this threaded comment; however, any edits to it will get removed if the file is opened in a newer version of Excel. Learn more: https://go.microsoft.com/fwlink/?linkid=870924
Comment:
    Execution will be someone else, not Michel. 26 Feb 26</t>
      </text>
    </comment>
    <comment ref="B79" authorId="1" shapeId="0" xr:uid="{642F36B3-A5C6-4B39-8D98-74ADCF3B5920}">
      <text>
        <t>[Threaded comment]
Your version of Excel allows you to read this threaded comment; however, any edits to it will get removed if the file is opened in a newer version of Excel. Learn more: https://go.microsoft.com/fwlink/?linkid=870924
Comment:
    Execution will be someone else, not Michel. 26 Feb 26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tc={35793F90-CCCA-47F1-ABE0-051D9D9E69EE}</author>
    <author>tc={F4FB8709-4C77-406B-911F-9498B31CDE67}</author>
    <author>tc={76636E18-1AE8-4F20-8E72-AAAC4658339F}</author>
    <author>tc={A0E4F29F-138B-431A-B4D3-0DB8628D2CE8}</author>
    <author>tc={568A1343-FDFD-4D42-AAF4-009B3C075C2C}</author>
    <author>tc={5BDB8B9D-820F-4BDF-850C-31BD12127136}</author>
  </authors>
  <commentList>
    <comment ref="G39" authorId="0" shapeId="0" xr:uid="{35793F90-CCCA-47F1-ABE0-051D9D9E69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Chased Hana for the Project Charter on 16 Jul 2026, as I could not find any record of it in the project folder.
</t>
      </text>
    </comment>
    <comment ref="J40" authorId="1" shapeId="0" xr:uid="{F4FB8709-4C77-406B-911F-9498B31CDE67}">
      <text>
        <t>[Threaded comment]
Your version of Excel allows you to read this threaded comment; however, any edits to it will get removed if the file is opened in a newer version of Excel. Learn more: https://go.microsoft.com/fwlink/?linkid=870924
Comment:
    See SteerCo pack</t>
      </text>
    </comment>
    <comment ref="G41" authorId="2" shapeId="0" xr:uid="{76636E18-1AE8-4F20-8E72-AAAC4658339F}">
      <text>
        <t>[Threaded comment]
Your version of Excel allows you to read this threaded comment; however, any edits to it will get removed if the file is opened in a newer version of Excel. Learn more: https://go.microsoft.com/fwlink/?linkid=870924
Comment:
    Chased Ivan for the Project Charter on 16 Jul 2026, as I could not find any record of it in the project folder.</t>
      </text>
    </comment>
    <comment ref="G42" authorId="3" shapeId="0" xr:uid="{A0E4F29F-138B-431A-B4D3-0DB8628D2C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Chased Hana for the Project Charter on 16 Jul 2026, as I could not find any record of it in the project folder.
</t>
      </text>
    </comment>
    <comment ref="A53" authorId="4" shapeId="0" xr:uid="{568A1343-FDFD-4D42-AAF4-009B3C075C2C}">
      <text>
        <t>[Threaded comment]
Your version of Excel allows you to read this threaded comment; however, any edits to it will get removed if the file is opened in a newer version of Excel. Learn more: https://go.microsoft.com/fwlink/?linkid=870924
Comment:
    Execution will be someone else, not Michel. 26 Feb 26</t>
      </text>
    </comment>
    <comment ref="G119" authorId="5" shapeId="0" xr:uid="{5BDB8B9D-820F-4BDF-850C-31BD1212713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Chased Hana for the Project Charter on 16 Jul 2026, as I could not find any record of it in the project folder.
</t>
      </text>
    </comment>
  </commentList>
</comments>
</file>

<file path=xl/sharedStrings.xml><?xml version="1.0" encoding="utf-8"?>
<sst xmlns="http://schemas.openxmlformats.org/spreadsheetml/2006/main" count="3548" uniqueCount="801">
  <si>
    <t>Project name</t>
  </si>
  <si>
    <t>Project name (as in ITS1)</t>
  </si>
  <si>
    <t xml:space="preserve">Tower </t>
  </si>
  <si>
    <t xml:space="preserve">PC Ownership </t>
  </si>
  <si>
    <t xml:space="preserve">PM name </t>
  </si>
  <si>
    <t>Internal/
External</t>
  </si>
  <si>
    <t>SalesForce 
Proposal # / BCA #</t>
  </si>
  <si>
    <t>#BSO/IO</t>
  </si>
  <si>
    <t>Project status</t>
  </si>
  <si>
    <t>Start date</t>
  </si>
  <si>
    <t>End date</t>
  </si>
  <si>
    <t>BU</t>
  </si>
  <si>
    <t>Value 2026</t>
  </si>
  <si>
    <t>Probability [%]</t>
  </si>
  <si>
    <t>Value weighted 2026</t>
  </si>
  <si>
    <t>Comments</t>
  </si>
  <si>
    <t xml:space="preserve">BARN Security Enforcement </t>
  </si>
  <si>
    <t>LAN CONNECTIVITY</t>
  </si>
  <si>
    <t>Telecoms</t>
  </si>
  <si>
    <t>Others</t>
  </si>
  <si>
    <t>Alina Nosulych</t>
  </si>
  <si>
    <t>Internal</t>
  </si>
  <si>
    <t>n/a</t>
  </si>
  <si>
    <t>Ongoing</t>
  </si>
  <si>
    <t>ITS</t>
  </si>
  <si>
    <t>Alina Nosulych for 10MD (%MDs per m onth), allocation only, RUN order</t>
  </si>
  <si>
    <t>F5 Refresh</t>
  </si>
  <si>
    <t>F5 BIG-IP EOSL Refresh - GLOBAL</t>
  </si>
  <si>
    <t> 87101386</t>
  </si>
  <si>
    <t>40% PM allocation</t>
  </si>
  <si>
    <t>ACI Upgrade - global activitiy (BARN related)</t>
  </si>
  <si>
    <t>Completed</t>
  </si>
  <si>
    <t>To be paid by RUN order, allocation only</t>
  </si>
  <si>
    <t>Central FAX migration to eFAX solution</t>
  </si>
  <si>
    <t>Central FAX migration to eFAX</t>
  </si>
  <si>
    <t>Multiple</t>
  </si>
  <si>
    <t>PM 20% allocation</t>
  </si>
  <si>
    <t>NGFW Proposals EXP</t>
  </si>
  <si>
    <t>Presales - EXP Central Management</t>
  </si>
  <si>
    <t>EXP</t>
  </si>
  <si>
    <t>NGFW request check for EXP, allocation only</t>
  </si>
  <si>
    <t>Cookies and consent ​management transformation​</t>
  </si>
  <si>
    <t>Cookies and DSAR management</t>
  </si>
  <si>
    <t>Andrea Stratilova</t>
  </si>
  <si>
    <t>Demand Management (Whitelisting for ZPA and Cloud Proxy Service)</t>
  </si>
  <si>
    <t>89100787, 89100999</t>
  </si>
  <si>
    <t>allocation only, run</t>
  </si>
  <si>
    <t>NGFW Proposals (DSC, ….)</t>
  </si>
  <si>
    <t>88100294, 88100275, 89100826, 89101130</t>
  </si>
  <si>
    <t>NGFW request check for DSC and others Bus, allocation only</t>
  </si>
  <si>
    <t>ExpAM-17020-WIN 2016 OS Refresh MX</t>
  </si>
  <si>
    <t>EXP AM Win 2016 OS Refresh</t>
  </si>
  <si>
    <t>Americas</t>
  </si>
  <si>
    <t>Hosting Programs</t>
  </si>
  <si>
    <t>Carlos Crawford</t>
  </si>
  <si>
    <t>External</t>
  </si>
  <si>
    <t>Q-42762</t>
  </si>
  <si>
    <t>DSCBR 22 Servers Migration to NAS</t>
  </si>
  <si>
    <t>Q-44330</t>
  </si>
  <si>
    <t>31318789</t>
  </si>
  <si>
    <t>DSC</t>
  </si>
  <si>
    <t>closed in 2025, this year new order (FP) - line 119</t>
  </si>
  <si>
    <t>DSCUS New LPAR Optimus</t>
  </si>
  <si>
    <t>Q-40690</t>
  </si>
  <si>
    <t>will be finished in 2026 (January)</t>
  </si>
  <si>
    <t>ExpAM-17029-DHCP Latam Migration</t>
  </si>
  <si>
    <t>Q-41773</t>
  </si>
  <si>
    <t>DSCBR - DHCP Migration</t>
  </si>
  <si>
    <t>DSC - DHCP Migration</t>
  </si>
  <si>
    <t>Q-44232</t>
  </si>
  <si>
    <t>DSCMX - DHCP Migration</t>
  </si>
  <si>
    <t>Q-44233</t>
  </si>
  <si>
    <t>DSCCO - DHCP Migration</t>
  </si>
  <si>
    <t>Q-44234</t>
  </si>
  <si>
    <t>Q-41949</t>
  </si>
  <si>
    <t>end in the middle of June</t>
  </si>
  <si>
    <t>Private Cloud 2.0 - Phase 1</t>
  </si>
  <si>
    <t>APAC</t>
  </si>
  <si>
    <t>SEF</t>
  </si>
  <si>
    <t>Daniel Lai</t>
  </si>
  <si>
    <t>Private Cloud 2.0 - Phase 2</t>
  </si>
  <si>
    <t>value to be clarified (1.600 k)</t>
  </si>
  <si>
    <t>ExpAM-17020-WIN 2016 OS Refresh CR CSC</t>
  </si>
  <si>
    <t>Daniela Ocampo</t>
  </si>
  <si>
    <t>Q-42759</t>
  </si>
  <si>
    <t>ExpAM-17020-WIN 2016 OS Refresh EC CSA</t>
  </si>
  <si>
    <t>Q-42760</t>
  </si>
  <si>
    <t>ExpAM-17020-WIN 2016 OS Refresh GT CSA</t>
  </si>
  <si>
    <t>Q-42761</t>
  </si>
  <si>
    <t>ExpAM-17020-WIN 2016 OS Refresh PY CSA</t>
  </si>
  <si>
    <t>Q-42763</t>
  </si>
  <si>
    <t>ExpAM-17020-WIN 2016 OS Refresh PE CSA</t>
  </si>
  <si>
    <t>Q-42764</t>
  </si>
  <si>
    <t>ExpAM-17020-WIN 2016 OS Refresh UY CSA</t>
  </si>
  <si>
    <t>Q-42765</t>
  </si>
  <si>
    <t xml:space="preserve">ExpAM-17020-WIN 2016 OS Refresh US </t>
  </si>
  <si>
    <t>Q-42766</t>
  </si>
  <si>
    <t>ExpAM-17020-WIN 2016 OS Refresh H&amp;G</t>
  </si>
  <si>
    <t>Q-42750</t>
  </si>
  <si>
    <t>ExpAM-17020-WIN 2016 OS Refresh AR CSA</t>
  </si>
  <si>
    <t>Q-42752</t>
  </si>
  <si>
    <t>ExpAM-17020-WIN 2016 OS Refresh BR</t>
  </si>
  <si>
    <t>Q-42754</t>
  </si>
  <si>
    <t>ExpAM-17020-WIN 2016 OS Refresh CL CSA</t>
  </si>
  <si>
    <t>Q-42756</t>
  </si>
  <si>
    <t>ExpAM-17020-WIN 2016 OS Refresh CR CSA</t>
  </si>
  <si>
    <t>Q-42758</t>
  </si>
  <si>
    <t>ExpAM-17020-WIN 2016 OS Refresh CO CSA</t>
  </si>
  <si>
    <t>Q-42757</t>
  </si>
  <si>
    <t>ExpAM-17020-WIN 2016 OS Refresh BO CSA</t>
  </si>
  <si>
    <t>Q-42753</t>
  </si>
  <si>
    <t>ExpAM-17020-WIN 2016 OS Refresh CA</t>
  </si>
  <si>
    <t>Q-42755</t>
  </si>
  <si>
    <t>ExpAM-17020-WIN 2016 OS Refresh AM Regional</t>
  </si>
  <si>
    <t>Q-42751</t>
  </si>
  <si>
    <t>DSCUS IOT 3rd Party Management 5 Sites P</t>
  </si>
  <si>
    <t>Q-41157</t>
  </si>
  <si>
    <t>31319201</t>
  </si>
  <si>
    <t>DeC US Impl. HA for CVG Honeywell Servers</t>
  </si>
  <si>
    <t>Q-19425</t>
  </si>
  <si>
    <t>DeC</t>
  </si>
  <si>
    <t>will be changed to FP. 2024 - 8827 EUR, the project is going to 2026</t>
  </si>
  <si>
    <t>DeC US Impl. HA for ORD Honeywell Servers</t>
  </si>
  <si>
    <t>Q-19424</t>
  </si>
  <si>
    <t>the project is going to 2026</t>
  </si>
  <si>
    <t>ExpAM-16534-UCC Telephony 2024 BR</t>
  </si>
  <si>
    <t>DWS</t>
  </si>
  <si>
    <t>Q-22966</t>
  </si>
  <si>
    <t>EXP AM JFK SATS – SCADA</t>
  </si>
  <si>
    <t>IS - Other</t>
  </si>
  <si>
    <t>Q-34347</t>
  </si>
  <si>
    <t>ExpAM-17115-UCC Telephony Dominican Republic</t>
  </si>
  <si>
    <t>ExpAM UCC Telephony</t>
  </si>
  <si>
    <t xml:space="preserve">Q-44194 </t>
  </si>
  <si>
    <t>ExpAM-17115-UCC Telephony Bahamas</t>
  </si>
  <si>
    <t xml:space="preserve">Q-44195 </t>
  </si>
  <si>
    <t>ExpAM-17115-UCC Telephony Barbados</t>
  </si>
  <si>
    <t xml:space="preserve">Q-44196 </t>
  </si>
  <si>
    <t>ExpAM-17115-UCC Telephony Bermuda</t>
  </si>
  <si>
    <t>Q-44197</t>
  </si>
  <si>
    <t>ExpAM-17115-UCC Telephony Guadeloupe</t>
  </si>
  <si>
    <t>Q-44198</t>
  </si>
  <si>
    <t>ExpAM-17115-UCC Telephony Haiti</t>
  </si>
  <si>
    <t>Q-44199</t>
  </si>
  <si>
    <t>ExpAM-17115-UCC Telephony Jamaica</t>
  </si>
  <si>
    <t xml:space="preserve">Q-44200 </t>
  </si>
  <si>
    <t>ExpAM-17115-UCC Telephony Trinidad_Tobago</t>
  </si>
  <si>
    <t>Q-44201</t>
  </si>
  <si>
    <t>DSCUS Transport GovCloud Enclave BUILD P</t>
  </si>
  <si>
    <t>Dayanna Abarca</t>
  </si>
  <si>
    <t>Q-38730</t>
  </si>
  <si>
    <t>31318483</t>
  </si>
  <si>
    <t>under Zdenek Suchel; lowered per information from Dayanna</t>
  </si>
  <si>
    <t>DNS and Domain Management Transformation</t>
  </si>
  <si>
    <t>DNS and Domain Transformation</t>
  </si>
  <si>
    <t>Dilyara Zeletdinova</t>
  </si>
  <si>
    <t>Secure Access Portal Process and Architecture Modernization (ELM)</t>
  </si>
  <si>
    <t>On hold</t>
  </si>
  <si>
    <t>Run</t>
  </si>
  <si>
    <t xml:space="preserve">Strengthen Deficiency (Consequence) Management for ELM - Phase II. </t>
  </si>
  <si>
    <t>Fully Automated Consequence Management</t>
  </si>
  <si>
    <t>BMC- Discovery Inventory PoC</t>
  </si>
  <si>
    <t>Discovery Inventory PoC</t>
  </si>
  <si>
    <t>Hosting</t>
  </si>
  <si>
    <t>Hana Kodatova</t>
  </si>
  <si>
    <t>Request from Petr Volf, Ales Trekoval</t>
  </si>
  <si>
    <t>DSC FR - Infolog upgrade IT PM</t>
  </si>
  <si>
    <t>Q-40161</t>
  </si>
  <si>
    <t>Storage TR 2026</t>
  </si>
  <si>
    <t>approved BCA - submitted by Pavel Lipavsky</t>
  </si>
  <si>
    <t>APIDOG</t>
  </si>
  <si>
    <t>Secure API Testing - Service Introduction</t>
  </si>
  <si>
    <t>Hana Sinska</t>
  </si>
  <si>
    <t>Green Accounting</t>
  </si>
  <si>
    <t>still on hold</t>
  </si>
  <si>
    <t>Dell Server Onboarding</t>
  </si>
  <si>
    <t>Internal order to be created - submitted by Jan Havel</t>
  </si>
  <si>
    <t>Internal servers EOL</t>
  </si>
  <si>
    <t>89101266 </t>
  </si>
  <si>
    <t>From Bara</t>
  </si>
  <si>
    <t>GWSS 2.0 - EXP</t>
  </si>
  <si>
    <t>GWSS 2.0</t>
  </si>
  <si>
    <t>Henrieta Schotzova</t>
  </si>
  <si>
    <t>Q-32221</t>
  </si>
  <si>
    <t>GWSS 2.0 - DeC</t>
  </si>
  <si>
    <t>Q-32462</t>
  </si>
  <si>
    <t>GWSS 2.0 - DSC</t>
  </si>
  <si>
    <t>Q-32209</t>
  </si>
  <si>
    <t>GWSS 2.0 - DGFF</t>
  </si>
  <si>
    <t>Q-33662, Q-32317</t>
  </si>
  <si>
    <t>31315099, 31315164</t>
  </si>
  <si>
    <t>DGFF</t>
  </si>
  <si>
    <t>GWSS 2.0 - PP</t>
  </si>
  <si>
    <t>Q-32254</t>
  </si>
  <si>
    <t>P&amp;P</t>
  </si>
  <si>
    <t>PoC - BMC - OpenShift onboarding</t>
  </si>
  <si>
    <t>Ivan Godunov</t>
  </si>
  <si>
    <t>Malware servers scanning</t>
  </si>
  <si>
    <t>UES ITS Managed Server</t>
  </si>
  <si>
    <t>Run Order - no need documentation, only etime allocation</t>
  </si>
  <si>
    <t>ExpGB-17047-SECMCO 2025 35 sites V1</t>
  </si>
  <si>
    <t>Jan Cesnek</t>
  </si>
  <si>
    <t>Q-42711</t>
  </si>
  <si>
    <t>New NGFW requests</t>
  </si>
  <si>
    <t>DSCUS NGFW &amp; Secure Access 2 Engineers</t>
  </si>
  <si>
    <t>Q-42515</t>
  </si>
  <si>
    <t>Body Shopping</t>
  </si>
  <si>
    <t>Netflow solution review - PoC</t>
  </si>
  <si>
    <t>Jan Ondrak</t>
  </si>
  <si>
    <t>PTV Sites Phase 2 2025 (GSN Internal development)</t>
  </si>
  <si>
    <t>PTV Sites phase 2</t>
  </si>
  <si>
    <t>Site Connectivity (Core Network connections - ITS 2 location in IN, DSC AU, BLueDart DeC IN)</t>
  </si>
  <si>
    <t>Site connectivity</t>
  </si>
  <si>
    <t>87101425, 89100816, 89101328</t>
  </si>
  <si>
    <t>Global ITS Meraki Service</t>
  </si>
  <si>
    <t>Patching Grid : Automated Deployment</t>
  </si>
  <si>
    <t>Automated Deployment v2 - 2026 SEF</t>
  </si>
  <si>
    <t>Jan Truksa</t>
  </si>
  <si>
    <t>SEF project, Sveto submitted PM request</t>
  </si>
  <si>
    <t>Ops Security Portal2.0</t>
  </si>
  <si>
    <t>On review in August</t>
  </si>
  <si>
    <t>EXP EU - Ws2016 EOLS Discovery &amp; Design</t>
  </si>
  <si>
    <t>EXP EU Win 2016 OS Refresh</t>
  </si>
  <si>
    <t>Jana Veberova</t>
  </si>
  <si>
    <t>Q-43184</t>
  </si>
  <si>
    <t>EXP EU Ws2016 OS R. - Server Refresh</t>
  </si>
  <si>
    <t>Q-43787</t>
  </si>
  <si>
    <t>rest Infra Delivery</t>
  </si>
  <si>
    <t>DGF-GL-Hosting-BLD-Win2016 Design</t>
  </si>
  <si>
    <t xml:space="preserve">DGFF WS2016 - Discovery &amp; Design </t>
  </si>
  <si>
    <t>Michel de Heij</t>
  </si>
  <si>
    <t xml:space="preserve">Q-48129 </t>
  </si>
  <si>
    <t>FRT-GL-Hosting-BLD-Win2016 Design</t>
  </si>
  <si>
    <t>Q-48130</t>
  </si>
  <si>
    <t>Group Functions - Ws2016 OS refresh</t>
  </si>
  <si>
    <t>GF XSL Ws2016 OS refresh</t>
  </si>
  <si>
    <t xml:space="preserve">Q-49268 </t>
  </si>
  <si>
    <t>GF</t>
  </si>
  <si>
    <t>PM effort 42 MDs, SO will not be created - different process</t>
  </si>
  <si>
    <t>DSC DE - RIM Blue.</t>
  </si>
  <si>
    <t>Q-43643, Q-39406</t>
  </si>
  <si>
    <t>ADaM 2.0 GCISO</t>
  </si>
  <si>
    <t>Jaroslav Kral</t>
  </si>
  <si>
    <t>PM 100% allocation, project under Miriam Slusna</t>
  </si>
  <si>
    <t>SATs central PM order</t>
  </si>
  <si>
    <t>EXP-AP-SATS-B-PM Resource 2026</t>
  </si>
  <si>
    <t>Katerina Soukupova</t>
  </si>
  <si>
    <t>Q-43577</t>
  </si>
  <si>
    <t>S/MIME User certificates</t>
  </si>
  <si>
    <t>S/MIME certificates transition</t>
  </si>
  <si>
    <t>Kirill Shabalkin</t>
  </si>
  <si>
    <t>run, allocation only</t>
  </si>
  <si>
    <t>SecMCO Lite Deployment (154 additional EXP sites)</t>
  </si>
  <si>
    <t>SecMCOv1 to SecMCOv3 Transformation of Premium Hubs</t>
  </si>
  <si>
    <t>OT security (Infosec driven, subject to PG1, approval through ITAM WG)</t>
  </si>
  <si>
    <t>GCISO SEF ITS OT Security</t>
  </si>
  <si>
    <t>GCISO</t>
  </si>
  <si>
    <t>Antimalware GW</t>
  </si>
  <si>
    <t>Kristina Fojtkova</t>
  </si>
  <si>
    <t>PP R PostIdent Analysis 2025</t>
  </si>
  <si>
    <t>Q-46153</t>
  </si>
  <si>
    <t>31319971 </t>
  </si>
  <si>
    <t>Analysis order from P&amp;P - No need project documentation</t>
  </si>
  <si>
    <t>EXP GL Resilience 2.0_ISQ_Automation</t>
  </si>
  <si>
    <t>Lisette Fincke</t>
  </si>
  <si>
    <t>Q-27709</t>
  </si>
  <si>
    <t>It will follow in 2026, SO number to be clarified (the original one or the new one)</t>
  </si>
  <si>
    <t xml:space="preserve">FreeRadius Sunset </t>
  </si>
  <si>
    <t>Internal effort provided by Telecoms Services (RUN)</t>
  </si>
  <si>
    <t>Unified DDoS (CDC Service Enhancement)</t>
  </si>
  <si>
    <t>Unified DDoS</t>
  </si>
  <si>
    <t>Ludek Houska</t>
  </si>
  <si>
    <t>Dec IB Celia Network Design Changes</t>
  </si>
  <si>
    <t>Q-41503</t>
  </si>
  <si>
    <t>31318081</t>
  </si>
  <si>
    <t>specific customer, non standard - RP not ready yet</t>
  </si>
  <si>
    <t>ITS Infosec Program management</t>
  </si>
  <si>
    <t>Muhammad Yusry</t>
  </si>
  <si>
    <t>Internal effort provided by Infosec Services</t>
  </si>
  <si>
    <t>DSCAP-Windows_2016_EOS_Assessment</t>
  </si>
  <si>
    <t>Q-43326 </t>
  </si>
  <si>
    <t>31319089</t>
  </si>
  <si>
    <t>DC Fortigate Refresh - GLOBAL</t>
  </si>
  <si>
    <t>DC Fortigate Refresh 2nd Phase- GLOBAL</t>
  </si>
  <si>
    <t>allocation only</t>
  </si>
  <si>
    <t>ISQ support for SPCS Managed services</t>
  </si>
  <si>
    <t>SPCS Managed Service – Transition from Cloud4C to ITS</t>
  </si>
  <si>
    <t>BCA approved - submitted by Jan Havel, value to be checked with Annie</t>
  </si>
  <si>
    <t>AP UCC Implementations</t>
  </si>
  <si>
    <t>Muthu Ramasamy</t>
  </si>
  <si>
    <t xml:space="preserve">Booking on the cost collector on DWS </t>
  </si>
  <si>
    <t>ExpMena-17127-DHCP Migration</t>
  </si>
  <si>
    <t>Q-44821</t>
  </si>
  <si>
    <t>Additional order, 2 orders, 1 SO</t>
  </si>
  <si>
    <t>ExpEU-17125- Spain DHCP Migration</t>
  </si>
  <si>
    <t>Q-44635</t>
  </si>
  <si>
    <t>31319960</t>
  </si>
  <si>
    <t xml:space="preserve">According to PM, this project is already ongoing. </t>
  </si>
  <si>
    <t>Data Security Platform</t>
  </si>
  <si>
    <t>Neeraja Duddu</t>
  </si>
  <si>
    <t>Leftover from 2025</t>
  </si>
  <si>
    <t>Dummy order - VACATIONS</t>
  </si>
  <si>
    <t>used for utilization purposes only, when vacation is planned</t>
  </si>
  <si>
    <t>Dummy order - PART TIME</t>
  </si>
  <si>
    <t>used for utilization purposes only, for tracking part timers assignments</t>
  </si>
  <si>
    <t>Secret Management</t>
  </si>
  <si>
    <t>Initiation</t>
  </si>
  <si>
    <t>BCA submitted to ITB - Pending approval - Youssef</t>
  </si>
  <si>
    <t>DPAM Workstreams mgmt</t>
  </si>
  <si>
    <t>DPAM Run</t>
  </si>
  <si>
    <t>89101263 </t>
  </si>
  <si>
    <t>Broadcom Ghost replacement</t>
  </si>
  <si>
    <t>Red Hat Ansible Deployment for ITS Servers</t>
  </si>
  <si>
    <t>Prosen Chandra</t>
  </si>
  <si>
    <t xml:space="preserve"> </t>
  </si>
  <si>
    <t>With vendor management to issue the PO based on the proposal from Redhat. End date to be confirmed.</t>
  </si>
  <si>
    <t>Global consistent monitoring and Test servers monitoring</t>
  </si>
  <si>
    <t>89100562 </t>
  </si>
  <si>
    <t>RUN bucket of IS</t>
  </si>
  <si>
    <t>Observability for MQ and Openshift infrastructure</t>
  </si>
  <si>
    <t>PAAS Admin</t>
  </si>
  <si>
    <t>Internal Run Bucket; check whether ITS1 project name is valid for this project</t>
  </si>
  <si>
    <t xml:space="preserve">IPv6 Telecoms 2026 </t>
  </si>
  <si>
    <t>Telecoms Patching grid</t>
  </si>
  <si>
    <t>Telecom Patching grid</t>
  </si>
  <si>
    <t>Rene Zamecnik</t>
  </si>
  <si>
    <t>Migration of Secure Access User Access Management to PIAM(requested by Isaac based on Audit findings)</t>
  </si>
  <si>
    <t>requested by Isaac based on Audit findings (15% allocation expected)</t>
  </si>
  <si>
    <t>Exchange Downgrade and Cloud Readiness</t>
  </si>
  <si>
    <t>Exchange Downsizing 2023</t>
  </si>
  <si>
    <t>Ruthie Buenafe</t>
  </si>
  <si>
    <t>87101221 </t>
  </si>
  <si>
    <t>Booking on the cost collector on DWS, project status to be checked</t>
  </si>
  <si>
    <t>M365 Tenant Configuration Backup &amp; Recovery</t>
  </si>
  <si>
    <t>DGFF-AP-DGF-CN-HK-RIM-HOSTING Tech Refresh 2025 BUILD</t>
  </si>
  <si>
    <t>DGF-CN-HK-RIM-HOSTING Tech Refresh</t>
  </si>
  <si>
    <t>Saranyah Vairavan</t>
  </si>
  <si>
    <t>Q-40458</t>
  </si>
  <si>
    <t>DSC-GSL-B-SeLECT-Emulator migration-ITPM</t>
  </si>
  <si>
    <t>Q-39435</t>
  </si>
  <si>
    <t>DSC Select Emulator ELR Gold</t>
  </si>
  <si>
    <t xml:space="preserve">
DSC-GSL-B-SeLECT-Emulator migration -ELR</t>
  </si>
  <si>
    <t>Q-41864</t>
  </si>
  <si>
    <t>T&amp;M. No project documentations are required.</t>
  </si>
  <si>
    <t>DSC Project coordination</t>
  </si>
  <si>
    <t>Sona Rackova</t>
  </si>
  <si>
    <t>Q-44807</t>
  </si>
  <si>
    <t>Report: 21900</t>
  </si>
  <si>
    <t>DeC GHO EVRi IT_29 Transition 2026</t>
  </si>
  <si>
    <t>DeC GHO EVRi IT</t>
  </si>
  <si>
    <t>Zlata Benesova</t>
  </si>
  <si>
    <t>Q-45239</t>
  </si>
  <si>
    <t>DeC GHO EVRi - Cisco Secure Access Implementation</t>
  </si>
  <si>
    <t>Q-46115</t>
  </si>
  <si>
    <t xml:space="preserve">Project closed </t>
  </si>
  <si>
    <t>DeC GHO TR TR IBM API Gateway Analysis</t>
  </si>
  <si>
    <t>Q-47357</t>
  </si>
  <si>
    <t>for Gerard</t>
  </si>
  <si>
    <t>DSC NORAM - SOC Support 2026</t>
  </si>
  <si>
    <t>Q-46970</t>
  </si>
  <si>
    <t>Indira 2.0 DHL Standards Migration - IS part</t>
  </si>
  <si>
    <t>DSCUS Inmar - Transition to DHL Standard</t>
  </si>
  <si>
    <t>William Exham</t>
  </si>
  <si>
    <t>Q-38008</t>
  </si>
  <si>
    <t>Indira 2.0 DHL Standards Migration - Telecoms part</t>
  </si>
  <si>
    <t>Vmware 2026</t>
  </si>
  <si>
    <t>VMWARE ADMIN</t>
  </si>
  <si>
    <t>Yu Mon Htay</t>
  </si>
  <si>
    <t>89100554 </t>
  </si>
  <si>
    <t>Internal Order - no need documentation, only etime allocation</t>
  </si>
  <si>
    <t>Zscaler Cloud Proxy for Blue collar workers</t>
  </si>
  <si>
    <t>Zied Erebai</t>
  </si>
  <si>
    <t>run order</t>
  </si>
  <si>
    <t xml:space="preserve">Internet capacity management​ (Zscaler BW control) </t>
  </si>
  <si>
    <t>ZPA 3rd Party Access ​​(migrate from xcVPN to ZPA 3rd Party by June 2026)</t>
  </si>
  <si>
    <t>ZPA 3rd Party BUs ELRs Migration</t>
  </si>
  <si>
    <t>RP drafted</t>
  </si>
  <si>
    <t>Zscaler NSS log servers</t>
  </si>
  <si>
    <t>Zscaler PAC file lifecycle full automation in Secure Access (ELM)</t>
  </si>
  <si>
    <t>Zscaler private access broker service introduction (ZSE Zscaler Edge)</t>
  </si>
  <si>
    <t>Access Broker -MICA PoC</t>
  </si>
  <si>
    <t>RP drafted, InfoSec project</t>
  </si>
  <si>
    <t>Zscaler - ZDX rollout to Bus</t>
  </si>
  <si>
    <t>IPv6 - IS part</t>
  </si>
  <si>
    <t>Cancelled</t>
  </si>
  <si>
    <t>Project cancelled</t>
  </si>
  <si>
    <t>DeC Global - Ws2016 OS refresh</t>
  </si>
  <si>
    <t>Q-45418</t>
  </si>
  <si>
    <t>DeC GHO decided not to manage project globaly, it should be on country level</t>
  </si>
  <si>
    <t>Automated Deployment v1</t>
  </si>
  <si>
    <t>Secure backup for SATs</t>
  </si>
  <si>
    <t>Vault phase 2 - BU workshops</t>
  </si>
  <si>
    <t xml:space="preserve">Vault phase 2 </t>
  </si>
  <si>
    <t>EXP CN SATS BR SZX Super GTW</t>
  </si>
  <si>
    <t>Q-23649</t>
  </si>
  <si>
    <t>31315702</t>
  </si>
  <si>
    <t>under SATs, 1866 EUR</t>
  </si>
  <si>
    <t>Resilience ISQ Fire Drill Support</t>
  </si>
  <si>
    <t>31310897</t>
  </si>
  <si>
    <t>DeC GHO EVRi IT_29 Cisco Secure Access-R</t>
  </si>
  <si>
    <t>31320189</t>
  </si>
  <si>
    <t>Ws2016 Express Thailand</t>
  </si>
  <si>
    <t>EXP AP Ws2016 OS Refresh - Discovery &amp; Design</t>
  </si>
  <si>
    <t>Q-46923</t>
  </si>
  <si>
    <t>Ws2016 Express Taiwan</t>
  </si>
  <si>
    <t>Q-48324</t>
  </si>
  <si>
    <t>Ws2016 Express India</t>
  </si>
  <si>
    <t>Q-48364</t>
  </si>
  <si>
    <t>Ws2016 Express Indonesia</t>
  </si>
  <si>
    <t>Q-48365</t>
  </si>
  <si>
    <t>Ws2016 Express Singapore SAH</t>
  </si>
  <si>
    <t>Q-48366</t>
  </si>
  <si>
    <t>Ws2016 Express Singapore SINCO</t>
  </si>
  <si>
    <t>Q-48763</t>
  </si>
  <si>
    <t xml:space="preserve">Country will not approve.Michel to follow up with Celeste to cancel proposal </t>
  </si>
  <si>
    <t>Ws2016 Express Singapore SINRO</t>
  </si>
  <si>
    <t>Q-48376</t>
  </si>
  <si>
    <t>Ws2016 Express APSSC</t>
  </si>
  <si>
    <t>Q-48367</t>
  </si>
  <si>
    <t>Ws2016 Express South Korea</t>
  </si>
  <si>
    <t>Q-48371</t>
  </si>
  <si>
    <t>Ws2016 Express Hong Kong AVI</t>
  </si>
  <si>
    <t>Q-48372</t>
  </si>
  <si>
    <t>Ws2016 Express Hong Kong EXP</t>
  </si>
  <si>
    <t>Q-48760</t>
  </si>
  <si>
    <t>Ws2016 Express Japan</t>
  </si>
  <si>
    <t>Q-48374</t>
  </si>
  <si>
    <t>Ws2016 Express AP Regional Office</t>
  </si>
  <si>
    <t>Q-48375</t>
  </si>
  <si>
    <t>Ws2016 Express AP Apps</t>
  </si>
  <si>
    <t>Q-48377</t>
  </si>
  <si>
    <t>Ws2016 Express New Zealand</t>
  </si>
  <si>
    <t>Q-48379</t>
  </si>
  <si>
    <t>Ws2016 Express Cambodia</t>
  </si>
  <si>
    <t>Q-48380</t>
  </si>
  <si>
    <t>Ws2016 Express Malaysia</t>
  </si>
  <si>
    <t>Q-48381</t>
  </si>
  <si>
    <t>Ws2016 Express Australia</t>
  </si>
  <si>
    <t>Q-48383</t>
  </si>
  <si>
    <t>Ws2016 Express Fiji</t>
  </si>
  <si>
    <t>Q-48396</t>
  </si>
  <si>
    <t>DGFF-AP-DGF-HK-RIM-HOSTING Tradelink 202</t>
  </si>
  <si>
    <t>Q-45619</t>
  </si>
  <si>
    <t>IS Quality improvements 2026</t>
  </si>
  <si>
    <t>Irina Denisova</t>
  </si>
  <si>
    <t>from Vasek Kares</t>
  </si>
  <si>
    <t>ITS resilient operations</t>
  </si>
  <si>
    <t>added by Sona based on info from Ivan</t>
  </si>
  <si>
    <t>DSCUS FSMS Migration to W2025</t>
  </si>
  <si>
    <t>Q-49323</t>
  </si>
  <si>
    <t>DeC Iberia Celia Transition</t>
  </si>
  <si>
    <t>Zdenek Novotny</t>
  </si>
  <si>
    <t>Q-48542</t>
  </si>
  <si>
    <t>DeC GHO MNG Kargo Connection to Shape+</t>
  </si>
  <si>
    <t>Q-49338</t>
  </si>
  <si>
    <t>T&amp;M!!!</t>
  </si>
  <si>
    <t>ExpGB-17172-NGFW Dedicated Resources</t>
  </si>
  <si>
    <t xml:space="preserve">Q-46225 </t>
  </si>
  <si>
    <t>DSC-IPv6-Migration Approach &amp; Certification ITS Support</t>
  </si>
  <si>
    <t>Q-49619</t>
  </si>
  <si>
    <t xml:space="preserve">DGFF-EU-DGF EU-BLDRUN-WS2016 refresh </t>
  </si>
  <si>
    <t xml:space="preserve">Q-49958 </t>
  </si>
  <si>
    <t>DeC AM Datadog Implementation ITS Project</t>
  </si>
  <si>
    <t>Q-49555</t>
  </si>
  <si>
    <t>BU driven project, PM effort only</t>
  </si>
  <si>
    <t>DSC-GSL-B-SeLECT-ITPM SLDP 2026</t>
  </si>
  <si>
    <t>Q-50393</t>
  </si>
  <si>
    <t>DGFF-AP-VN-RIM-SGN009-RELOCATION ETOWN</t>
  </si>
  <si>
    <t>Q-37828</t>
  </si>
  <si>
    <t>EXP SATS MIA BESS WebSentenial VMs</t>
  </si>
  <si>
    <t>Q-49017</t>
  </si>
  <si>
    <t>under SATs</t>
  </si>
  <si>
    <t>EXP SATS CA YHM BESS WebSentinal VMs</t>
  </si>
  <si>
    <t>Q-48268</t>
  </si>
  <si>
    <t>ExpAM-17185-PCI 2026_Audit_Scans_Altiris</t>
  </si>
  <si>
    <t>Q-46969</t>
  </si>
  <si>
    <t>DE LEJ Storage Consolidation Project</t>
  </si>
  <si>
    <t>Q-51620</t>
  </si>
  <si>
    <t>Workload Segmentation RFI Initiative</t>
  </si>
  <si>
    <t>Pavla Zidkova</t>
  </si>
  <si>
    <t>Michal Levak to provide allocation</t>
  </si>
  <si>
    <t>DeC ES CTT Transition June/July</t>
  </si>
  <si>
    <t>Q-50934</t>
  </si>
  <si>
    <t>Network Access Control PoC</t>
  </si>
  <si>
    <t>PKI non-CT TLS certificate migration</t>
  </si>
  <si>
    <t>PKI - TLS Non-CT Certificates Migration</t>
  </si>
  <si>
    <t>run, allocation only, owner Jiri Podhorny</t>
  </si>
  <si>
    <t>ITS E2E Services Analysis for possible containerization</t>
  </si>
  <si>
    <t>Requested by Martin Fojtek</t>
  </si>
  <si>
    <t>MS Bookings Introduction</t>
  </si>
  <si>
    <t>Business Applications Patching Assessment</t>
  </si>
  <si>
    <t>Q-48498</t>
  </si>
  <si>
    <t>Catalyst Center PoC in LATAM</t>
  </si>
  <si>
    <t>Topaz Containerisation</t>
  </si>
  <si>
    <t>Inernal</t>
  </si>
  <si>
    <t>Hanka and Pavol Stefan will work together. Awaiting BCA approval.Came via PM request portal. Expected to start in August, if approved.</t>
  </si>
  <si>
    <t>AI PoC- Shadow AI Detection</t>
  </si>
  <si>
    <t>came via PM request portal, Zdenek checking for more details, Yair Kler</t>
  </si>
  <si>
    <t>CRYOPDP</t>
  </si>
  <si>
    <t>DGFF-AP-DGF-CN-RIM-HOSTING Tech Refresh</t>
  </si>
  <si>
    <t>31322328</t>
  </si>
  <si>
    <t>order replaced by 31322709 and 31322710 as per BU request</t>
  </si>
  <si>
    <t>Q-51073</t>
  </si>
  <si>
    <t>31322709</t>
  </si>
  <si>
    <t>Q-51075</t>
  </si>
  <si>
    <t>31322710</t>
  </si>
  <si>
    <t>DeC AM Image Scan NGFW Design</t>
  </si>
  <si>
    <t>31322904</t>
  </si>
  <si>
    <t>sent to BJ for check</t>
  </si>
  <si>
    <t>Tower</t>
  </si>
  <si>
    <t>PM name</t>
  </si>
  <si>
    <t>Externality</t>
  </si>
  <si>
    <t>Status</t>
  </si>
  <si>
    <t>Project Charter reviewed by Hena</t>
  </si>
  <si>
    <t>Project Plan</t>
  </si>
  <si>
    <t>Resource plan</t>
  </si>
  <si>
    <t>Project Charter</t>
  </si>
  <si>
    <t>PSR</t>
  </si>
  <si>
    <t>Lesson Learned</t>
  </si>
  <si>
    <t>Lessons Learned reviewed by Hena</t>
  </si>
  <si>
    <t>Project Closure</t>
  </si>
  <si>
    <t>Project Closure reviewed by Hena</t>
  </si>
  <si>
    <t>Portfolio review scope</t>
  </si>
  <si>
    <t>Project Owner</t>
  </si>
  <si>
    <t>RAG status</t>
  </si>
  <si>
    <t>29th Jan scope</t>
  </si>
  <si>
    <t>24th Feb scope</t>
  </si>
  <si>
    <t>26th Mar scope</t>
  </si>
  <si>
    <t>28th Apr scope</t>
  </si>
  <si>
    <t>28th May scope</t>
  </si>
  <si>
    <t>23rd June scope</t>
  </si>
  <si>
    <t>Comment</t>
  </si>
  <si>
    <t>not required</t>
  </si>
  <si>
    <t xml:space="preserve">yes </t>
  </si>
  <si>
    <t>PJ20252652</t>
  </si>
  <si>
    <t>PJ20252837</t>
  </si>
  <si>
    <t>Daniela Ocampo/ Carlos Crawford (MX)</t>
  </si>
  <si>
    <t>PJ20252385</t>
  </si>
  <si>
    <t>yes</t>
  </si>
  <si>
    <t>PJ20252402</t>
  </si>
  <si>
    <t>PJ20252619</t>
  </si>
  <si>
    <t>PJ20251428</t>
  </si>
  <si>
    <t>Zdenek Suchel</t>
  </si>
  <si>
    <t>PJ20251543</t>
  </si>
  <si>
    <t>Barbora Vesela</t>
  </si>
  <si>
    <t>In Progress</t>
  </si>
  <si>
    <t>Jan Havel</t>
  </si>
  <si>
    <t>PJ20260357</t>
  </si>
  <si>
    <t>Amitabh</t>
  </si>
  <si>
    <t>PJ20241298</t>
  </si>
  <si>
    <t>Adrian Apthorp</t>
  </si>
  <si>
    <t>Lis is only receiving eTime for this project.</t>
  </si>
  <si>
    <t>PJ20252307</t>
  </si>
  <si>
    <t>Alvin Ho</t>
  </si>
  <si>
    <t>PJ20260684</t>
  </si>
  <si>
    <t>PJ20260240</t>
  </si>
  <si>
    <t>Sannil Walson</t>
  </si>
  <si>
    <t>PJ20260217</t>
  </si>
  <si>
    <t>PJ20260128</t>
  </si>
  <si>
    <t>PJ20240296</t>
  </si>
  <si>
    <t>Vit Rocek</t>
  </si>
  <si>
    <t>Openshift integration into Netbackup</t>
  </si>
  <si>
    <t>PJ20240068</t>
  </si>
  <si>
    <t>Ondrej Svoboda</t>
  </si>
  <si>
    <t>PJ20251765</t>
  </si>
  <si>
    <t>PJ20252762</t>
  </si>
  <si>
    <t>PJ20251811</t>
  </si>
  <si>
    <t>Sylvain Lepine</t>
  </si>
  <si>
    <t>PJ20251996</t>
  </si>
  <si>
    <t>?</t>
  </si>
  <si>
    <t>PJ20240627</t>
  </si>
  <si>
    <t>PJ20260506</t>
  </si>
  <si>
    <t>Ales Trekoval</t>
  </si>
  <si>
    <t>PJ20260327</t>
  </si>
  <si>
    <t>Pavel Lipavsky</t>
  </si>
  <si>
    <t>PJ20261057</t>
  </si>
  <si>
    <t>PJ20250912</t>
  </si>
  <si>
    <t>PJ20250919</t>
  </si>
  <si>
    <t>Henrieta Scholtzova</t>
  </si>
  <si>
    <t>PJ20261090</t>
  </si>
  <si>
    <t>Youssef Choueiry</t>
  </si>
  <si>
    <t>PJ20260223</t>
  </si>
  <si>
    <t>Svetozar Galik</t>
  </si>
  <si>
    <t>PJ20250006</t>
  </si>
  <si>
    <t>RACI uploaded</t>
  </si>
  <si>
    <t xml:space="preserve">PJ20252692 </t>
  </si>
  <si>
    <t>Marco Balestra</t>
  </si>
  <si>
    <t xml:space="preserve">PJ20251673 </t>
  </si>
  <si>
    <t>Sammy Abu Shab</t>
  </si>
  <si>
    <t>PJ20261150</t>
  </si>
  <si>
    <t>PJ20251532</t>
  </si>
  <si>
    <t>Allocation only</t>
  </si>
  <si>
    <t>PJ20252507</t>
  </si>
  <si>
    <t>Jaroslav Kic</t>
  </si>
  <si>
    <t>PJ20260165</t>
  </si>
  <si>
    <t>Noor Suraya Sanusi</t>
  </si>
  <si>
    <t>PJ20252033</t>
  </si>
  <si>
    <t>Michal Levak</t>
  </si>
  <si>
    <t xml:space="preserve">Proposal creation </t>
  </si>
  <si>
    <t>PJ20260752</t>
  </si>
  <si>
    <t>ON HOLD</t>
  </si>
  <si>
    <t>PJ20260747</t>
  </si>
  <si>
    <t>Vladimir Mandic</t>
  </si>
  <si>
    <t>IP00000384</t>
  </si>
  <si>
    <t>Nature of project is similar to SATS</t>
  </si>
  <si>
    <t>No</t>
  </si>
  <si>
    <t>Body shopping</t>
  </si>
  <si>
    <t>PJ20260015</t>
  </si>
  <si>
    <t>Josef Kasparek</t>
  </si>
  <si>
    <t>PJ20260016</t>
  </si>
  <si>
    <t>David Branik</t>
  </si>
  <si>
    <t>PJ20260014</t>
  </si>
  <si>
    <t>PJ20260574</t>
  </si>
  <si>
    <t>Miriam Slusna</t>
  </si>
  <si>
    <t xml:space="preserve">ADAM 3.0 </t>
  </si>
  <si>
    <t>Not a project, BAU</t>
  </si>
  <si>
    <t>PJ20251799</t>
  </si>
  <si>
    <t>Jonas Matheus</t>
  </si>
  <si>
    <t>PJ20251199</t>
  </si>
  <si>
    <t>Przemyslaw Gnyska</t>
  </si>
  <si>
    <t>PJ20260901</t>
  </si>
  <si>
    <t>PJ20260045</t>
  </si>
  <si>
    <t>PJ20260286</t>
  </si>
  <si>
    <t>BAU</t>
  </si>
  <si>
    <t>PJ20260285</t>
  </si>
  <si>
    <t>Martin Holovsky</t>
  </si>
  <si>
    <t>PJ20251788</t>
  </si>
  <si>
    <t>Martin Fojtek</t>
  </si>
  <si>
    <t>Project not started</t>
  </si>
  <si>
    <t>DO NOT EDIT</t>
  </si>
  <si>
    <t>EDIT</t>
  </si>
  <si>
    <t>Allocation % 2026 - PLEASE EDIT MANUALLY</t>
  </si>
  <si>
    <t>Initial IP
Tower</t>
  </si>
  <si>
    <t>Profit Ownership</t>
  </si>
  <si>
    <t>PM Depart</t>
  </si>
  <si>
    <t>PM Name</t>
  </si>
  <si>
    <t>PM Name Secondary</t>
  </si>
  <si>
    <t>Order N.</t>
  </si>
  <si>
    <t>Notes</t>
  </si>
  <si>
    <t>Value</t>
  </si>
  <si>
    <t>Probability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</si>
  <si>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</si>
  <si>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</si>
  <si>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</si>
  <si>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</si>
  <si>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</si>
  <si>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</si>
  <si>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</si>
  <si>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</si>
  <si>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</si>
  <si>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</si>
  <si>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</si>
  <si>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</si>
  <si>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Is it in 
project list?</t>
  </si>
  <si>
    <t>DNS and Domain management transformation</t>
  </si>
  <si>
    <t>Infra Services</t>
  </si>
  <si>
    <t>Yes</t>
  </si>
  <si>
    <t>Katerina Schmiedova</t>
  </si>
  <si>
    <t>Lucie Kolarikova</t>
  </si>
  <si>
    <t>Muthu M Ramasamy</t>
  </si>
  <si>
    <t>Sanju Hornikova</t>
  </si>
  <si>
    <t>Michel De Heij</t>
  </si>
  <si>
    <t>Postident</t>
  </si>
  <si>
    <t>Elyssium</t>
  </si>
  <si>
    <t>AI on Prem</t>
  </si>
  <si>
    <t>AI Ops</t>
  </si>
  <si>
    <t>Vault</t>
  </si>
  <si>
    <t>Hosting Services Analysis for possible containerization</t>
  </si>
  <si>
    <t>Neeru's Project</t>
  </si>
  <si>
    <t>Ops Security Portal</t>
  </si>
  <si>
    <t>Michel's AI On prem project</t>
  </si>
  <si>
    <t>(All)</t>
  </si>
  <si>
    <t>PM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</si>
  <si>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</si>
  <si>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</si>
  <si>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</si>
  <si>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</si>
  <si>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</si>
  <si>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</si>
  <si>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</si>
  <si>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</si>
  <si>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</si>
  <si>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</si>
  <si>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</si>
  <si>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</si>
  <si>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Details for Count of Project name (as in ITS1) - Tower: IS</t>
  </si>
  <si>
    <t>Categroyr</t>
  </si>
  <si>
    <t>IS portfolio review scope</t>
  </si>
  <si>
    <t>IS</t>
  </si>
  <si>
    <t>Technical Refresh</t>
  </si>
  <si>
    <t>Technical POC</t>
  </si>
  <si>
    <t>Deployment</t>
  </si>
  <si>
    <t>Service Introduction</t>
  </si>
  <si>
    <t>PJ20241303</t>
  </si>
  <si>
    <t>Application Development</t>
  </si>
  <si>
    <t>Infrastructure Security</t>
  </si>
  <si>
    <t>Row Labels</t>
  </si>
  <si>
    <t>Count of Project name (as in ITS1)</t>
  </si>
  <si>
    <t>Grand Total</t>
  </si>
  <si>
    <t>PC Ownership</t>
  </si>
  <si>
    <t>Internal/External project</t>
  </si>
  <si>
    <t>Project charter</t>
  </si>
  <si>
    <t xml:space="preserve">Project charter reviewed by Hena </t>
  </si>
  <si>
    <t>Project plan</t>
  </si>
  <si>
    <t>Lessons Learned</t>
  </si>
  <si>
    <t>Project closure</t>
  </si>
  <si>
    <t>Project closure reviewed by Hena</t>
  </si>
  <si>
    <t>PM Full Name</t>
  </si>
  <si>
    <t>Nosulych Alina</t>
  </si>
  <si>
    <t>Gottschling Bernd</t>
  </si>
  <si>
    <t>Bernd Gottschling</t>
  </si>
  <si>
    <t>DE-EUG</t>
  </si>
  <si>
    <t>Telecoms-AM</t>
  </si>
  <si>
    <t>Milne Corey</t>
  </si>
  <si>
    <t>Corey Milne</t>
  </si>
  <si>
    <t>InfoSec</t>
  </si>
  <si>
    <t>Thoribová Dalila</t>
  </si>
  <si>
    <t>Dalila Thoribova</t>
  </si>
  <si>
    <t>LAI MUN CHUN (Daniel)</t>
  </si>
  <si>
    <t>Telecoms-APAC</t>
  </si>
  <si>
    <t>Dayanna Abarca Garcia</t>
  </si>
  <si>
    <t>Zeletdinova Dilyara</t>
  </si>
  <si>
    <t>Kottzieper Gunther</t>
  </si>
  <si>
    <t>Gunther Kottzieper</t>
  </si>
  <si>
    <t>Kodatová Hana</t>
  </si>
  <si>
    <t>Ahir Harshkumar</t>
  </si>
  <si>
    <t>Harsh Ahir</t>
  </si>
  <si>
    <t>Godunov Ivan</t>
  </si>
  <si>
    <t>Strýček Jakub</t>
  </si>
  <si>
    <t>Jakub Strycek</t>
  </si>
  <si>
    <t>Česnek Jan</t>
  </si>
  <si>
    <t>Jan Derfinak</t>
  </si>
  <si>
    <t>Jan Derfinak (EXT)</t>
  </si>
  <si>
    <t>Telecoms - EXT</t>
  </si>
  <si>
    <t>Ondrák Jan</t>
  </si>
  <si>
    <t>Truksa Jan</t>
  </si>
  <si>
    <t>Král Jaroslav</t>
  </si>
  <si>
    <t>Kai Danielmeier</t>
  </si>
  <si>
    <t>Kai Danielmeier (EXT)</t>
  </si>
  <si>
    <t>Soukupová Schmiedová Kateřina</t>
  </si>
  <si>
    <t>Fojtková Kristína</t>
  </si>
  <si>
    <t>ELISABETH JOHANNA FINCKE (Lisette)</t>
  </si>
  <si>
    <t>Lukas Oplt</t>
  </si>
  <si>
    <t>Lukas Oplt (EXT)</t>
  </si>
  <si>
    <t>Lukas Ryska</t>
  </si>
  <si>
    <t>Lukas Ryska (EXT)</t>
  </si>
  <si>
    <t>Infra Services - EXT</t>
  </si>
  <si>
    <t>Šebek Lukáš</t>
  </si>
  <si>
    <t>Lukas Sebek</t>
  </si>
  <si>
    <t>Magda Benesova</t>
  </si>
  <si>
    <t>Magda Benesova (EXT)</t>
  </si>
  <si>
    <t>DE HEIJ Michel</t>
  </si>
  <si>
    <t>MUHAMMAD YUSRY BIN MUHAMMAD NAJIB (Yusry)</t>
  </si>
  <si>
    <t>MUTHU MALAYANDI A/L M RAMASAMY (Muthu)</t>
  </si>
  <si>
    <t>Nick Appelboom</t>
  </si>
  <si>
    <t>Nick Appelboom (EXT)</t>
  </si>
  <si>
    <t>NUR AZURA BINTI ZULKIFLI</t>
  </si>
  <si>
    <t>Nur Azura Zulkifli</t>
  </si>
  <si>
    <t>Ondrej Novotny</t>
  </si>
  <si>
    <t>ŽÍDKOVÁ Pavla</t>
  </si>
  <si>
    <t>Zámečník René</t>
  </si>
  <si>
    <t>JOULIBEE BETONIO BUENAFE (Ruthie)</t>
  </si>
  <si>
    <t>Harris Sandra</t>
  </si>
  <si>
    <t>Sandra Harris</t>
  </si>
  <si>
    <t>Petrušková Sandra</t>
  </si>
  <si>
    <t>Sandra Petruškova</t>
  </si>
  <si>
    <t>Ramasamy Sanjuktha</t>
  </si>
  <si>
    <t>Sanjuktha Ramasamy</t>
  </si>
  <si>
    <t>SARANYAH A/P VAIRAVAN</t>
  </si>
  <si>
    <t>Mammen Seema</t>
  </si>
  <si>
    <t>Seema Mammen</t>
  </si>
  <si>
    <t>Singh Shalini</t>
  </si>
  <si>
    <t>Shalini Singh</t>
  </si>
  <si>
    <t>Traian Balan</t>
  </si>
  <si>
    <t>Traian Balan (EXT)</t>
  </si>
  <si>
    <t>Zelenohorská Veronika</t>
  </si>
  <si>
    <t>Veronika Zelenohorska</t>
  </si>
  <si>
    <t>Weimin Yuan</t>
  </si>
  <si>
    <t>Weimin Yuan (EXT)</t>
  </si>
  <si>
    <t>Exham,William</t>
  </si>
  <si>
    <t>Novotný Zdeněk</t>
  </si>
  <si>
    <t>Zdenek Svaty</t>
  </si>
  <si>
    <t>Zdenek Svaty (EXT)</t>
  </si>
  <si>
    <t>Erebai Zied</t>
  </si>
  <si>
    <t>Scattergood Zita</t>
  </si>
  <si>
    <t>Zita Scattergood</t>
  </si>
  <si>
    <t>Benesova Zlata</t>
  </si>
  <si>
    <t>Denisova Irina</t>
  </si>
  <si>
    <t>Vesela Barbora</t>
  </si>
  <si>
    <t>Veberova Jana</t>
  </si>
  <si>
    <t>Sinska Hana</t>
  </si>
  <si>
    <t>Kolarikova Lucie</t>
  </si>
  <si>
    <t>Project Charter reviewed by Martin (SEF)</t>
  </si>
  <si>
    <t>PJ20260865</t>
  </si>
  <si>
    <t>DGFF EU WS2016 refresh</t>
  </si>
  <si>
    <t>Resilient Operations</t>
  </si>
  <si>
    <t>Antimalware Gateway Replacement</t>
  </si>
  <si>
    <t>Data Security Platform(DSP)</t>
  </si>
  <si>
    <t>DeC UK carve out Hamilton intergation - hosting and databases</t>
  </si>
  <si>
    <t>Green Accounting - MVP - Reporting 2024</t>
  </si>
  <si>
    <t>PJ20261385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</si>
</sst>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€-2]\ * #,##0.00_-;\-[$€-2]\ * #,##0.00_-;_-[$€-2]\ * &quot;-&quot;??_-;_-@_-"/>
    <numFmt numFmtId="165" formatCode="_([$€-2]\ * #,##0.00_);_([$€-2]\ * \(#,##0.00\);_([$€-2]\ * &quot;-&quot;??_);_(@_)"/>
    <numFmt numFmtId="166" formatCode="[$-409]d\-mmm\-yy;@"/>
  </numFmts>
  <fonts count="27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8"/>
      <name val="Frutiger"/>
    </font>
    <font>
      <sz val="11"/>
      <color rgb="FF444444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0"/>
      <name val="Delivery"/>
      <family val="2"/>
    </font>
    <font>
      <sz val="11"/>
      <color theme="1"/>
      <name val="Delivery"/>
      <family val="2"/>
    </font>
    <font>
      <b/>
      <sz val="11"/>
      <color theme="1"/>
      <name val="Delivery"/>
      <family val="2"/>
    </font>
    <font>
      <sz val="11"/>
      <color rgb="FF000000"/>
      <name val="Delivery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scheme val="minor"/>
    </font>
    <font>
      <sz val="10"/>
      <color theme="1"/>
      <name val="Delivery"/>
      <family val="2"/>
    </font>
    <font>
      <sz val="10"/>
      <color rgb="FF000000"/>
      <name val="Calibri"/>
      <family val="2"/>
    </font>
    <font>
      <sz val="10"/>
      <color rgb="FF000000"/>
      <name val="Delivery"/>
      <family val="2"/>
    </font>
    <font>
      <sz val="10"/>
      <color rgb="FF000000"/>
      <name val="Delivery"/>
    </font>
  </fonts>
  <fills count="2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3F3F3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A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EC7"/>
        <bgColor indexed="64"/>
      </patternFill>
    </fill>
    <fill>
      <patternFill patternType="solid">
        <fgColor rgb="FFFFB9B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rgb="FF00B0F0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148">
    <xf numFmtId="0" fontId="0" fillId="0" borderId="0" xfId="0"/>
    <xf numFmtId="9" fontId="2" fillId="0" borderId="0" xfId="0" applyNumberFormat="1" applyFont="1"/>
    <xf numFmtId="0" fontId="4" fillId="8" borderId="6" xfId="0" applyFont="1" applyFill="1" applyBorder="1" applyAlignment="1" applyProtection="1">
      <alignment horizontal="center" vertical="center" wrapText="1"/>
      <protection locked="0"/>
    </xf>
    <xf numFmtId="14" fontId="4" fillId="8" borderId="6" xfId="0" applyNumberFormat="1" applyFont="1" applyFill="1" applyBorder="1" applyAlignment="1" applyProtection="1">
      <alignment horizontal="center" vertical="center" wrapText="1"/>
      <protection locked="0"/>
    </xf>
    <xf numFmtId="49" fontId="4" fillId="8" borderId="6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6" xfId="0" applyFont="1" applyFill="1" applyBorder="1" applyAlignment="1" applyProtection="1">
      <alignment horizontal="center" vertical="center"/>
      <protection locked="0"/>
    </xf>
    <xf numFmtId="165" fontId="5" fillId="11" borderId="0" xfId="0" applyNumberFormat="1" applyFont="1" applyFill="1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9" fontId="0" fillId="0" borderId="0" xfId="1" applyFont="1" applyAlignment="1" applyProtection="1">
      <alignment horizontal="center" vertical="top"/>
      <protection locked="0"/>
    </xf>
    <xf numFmtId="9" fontId="0" fillId="0" borderId="0" xfId="1" applyFont="1" applyFill="1" applyAlignment="1" applyProtection="1">
      <alignment horizontal="center" vertical="top"/>
      <protection locked="0"/>
    </xf>
    <xf numFmtId="0" fontId="7" fillId="0" borderId="0" xfId="0" applyFont="1"/>
    <xf numFmtId="0" fontId="6" fillId="0" borderId="0" xfId="0" applyFont="1" applyAlignment="1">
      <alignment horizontal="center"/>
    </xf>
    <xf numFmtId="9" fontId="6" fillId="0" borderId="0" xfId="1" applyFont="1" applyFill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6" fillId="0" borderId="0" xfId="0" applyNumberFormat="1" applyFont="1" applyAlignment="1" applyProtection="1">
      <alignment horizontal="center" vertical="top"/>
      <protection locked="0"/>
    </xf>
    <xf numFmtId="0" fontId="6" fillId="12" borderId="0" xfId="0" applyFont="1" applyFill="1"/>
    <xf numFmtId="0" fontId="0" fillId="17" borderId="0" xfId="0" applyFill="1"/>
    <xf numFmtId="9" fontId="0" fillId="0" borderId="0" xfId="0" applyNumberFormat="1"/>
    <xf numFmtId="0" fontId="0" fillId="18" borderId="0" xfId="0" applyFill="1"/>
    <xf numFmtId="0" fontId="8" fillId="0" borderId="0" xfId="0" applyFont="1"/>
    <xf numFmtId="0" fontId="0" fillId="0" borderId="6" xfId="0" pivotButton="1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9" fontId="0" fillId="0" borderId="6" xfId="0" applyNumberFormat="1" applyBorder="1" applyAlignment="1">
      <alignment horizontal="center"/>
    </xf>
    <xf numFmtId="0" fontId="2" fillId="0" borderId="6" xfId="0" applyFont="1" applyBorder="1"/>
    <xf numFmtId="0" fontId="2" fillId="0" borderId="10" xfId="0" applyFont="1" applyBorder="1"/>
    <xf numFmtId="0" fontId="2" fillId="0" borderId="11" xfId="0" applyFont="1" applyBorder="1"/>
    <xf numFmtId="0" fontId="1" fillId="19" borderId="6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1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 wrapText="1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164" fontId="0" fillId="10" borderId="0" xfId="0" applyNumberFormat="1" applyFill="1" applyAlignment="1" applyProtection="1">
      <alignment horizontal="center" vertical="top"/>
      <protection locked="0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11" borderId="0" xfId="0" applyFill="1" applyAlignment="1" applyProtection="1">
      <alignment horizontal="left" vertical="top"/>
      <protection locked="0"/>
    </xf>
    <xf numFmtId="0" fontId="0" fillId="12" borderId="0" xfId="0" applyFill="1"/>
    <xf numFmtId="0" fontId="6" fillId="3" borderId="0" xfId="0" applyFont="1" applyFill="1"/>
    <xf numFmtId="9" fontId="0" fillId="0" borderId="0" xfId="1" applyFont="1" applyAlignment="1" applyProtection="1">
      <alignment horizontal="center"/>
      <protection locked="0"/>
    </xf>
    <xf numFmtId="0" fontId="6" fillId="11" borderId="0" xfId="0" applyFont="1" applyFill="1"/>
    <xf numFmtId="14" fontId="0" fillId="0" borderId="0" xfId="0" applyNumberFormat="1"/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11" fillId="0" borderId="6" xfId="0" applyFont="1" applyBorder="1"/>
    <xf numFmtId="0" fontId="11" fillId="0" borderId="0" xfId="0" applyFont="1"/>
    <xf numFmtId="0" fontId="0" fillId="0" borderId="14" xfId="0" applyBorder="1"/>
    <xf numFmtId="0" fontId="1" fillId="19" borderId="1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3" fillId="0" borderId="0" xfId="0" applyFont="1" applyAlignment="1" applyProtection="1">
      <alignment horizontal="left" vertical="top"/>
      <protection locked="0"/>
    </xf>
    <xf numFmtId="0" fontId="0" fillId="8" borderId="14" xfId="0" applyFill="1" applyBorder="1" applyAlignment="1">
      <alignment wrapText="1"/>
    </xf>
    <xf numFmtId="0" fontId="12" fillId="0" borderId="14" xfId="0" applyFont="1" applyBorder="1"/>
    <xf numFmtId="0" fontId="13" fillId="0" borderId="14" xfId="0" applyFont="1" applyBorder="1"/>
    <xf numFmtId="0" fontId="12" fillId="0" borderId="16" xfId="0" applyFont="1" applyBorder="1"/>
    <xf numFmtId="0" fontId="12" fillId="0" borderId="17" xfId="0" applyFont="1" applyBorder="1"/>
    <xf numFmtId="0" fontId="11" fillId="0" borderId="18" xfId="0" applyFont="1" applyBorder="1"/>
    <xf numFmtId="0" fontId="11" fillId="0" borderId="11" xfId="0" applyFont="1" applyBorder="1"/>
    <xf numFmtId="0" fontId="0" fillId="0" borderId="16" xfId="0" applyBorder="1"/>
    <xf numFmtId="0" fontId="15" fillId="13" borderId="2" xfId="0" applyFont="1" applyFill="1" applyBorder="1" applyAlignment="1">
      <alignment horizontal="center" vertical="center"/>
    </xf>
    <xf numFmtId="0" fontId="15" fillId="13" borderId="3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center" vertical="center"/>
    </xf>
    <xf numFmtId="0" fontId="16" fillId="0" borderId="0" xfId="0" applyFont="1"/>
    <xf numFmtId="0" fontId="17" fillId="15" borderId="7" xfId="0" applyFont="1" applyFill="1" applyBorder="1" applyAlignment="1">
      <alignment vertical="top"/>
    </xf>
    <xf numFmtId="0" fontId="17" fillId="15" borderId="8" xfId="0" applyFont="1" applyFill="1" applyBorder="1" applyAlignment="1">
      <alignment vertical="top"/>
    </xf>
    <xf numFmtId="9" fontId="17" fillId="9" borderId="8" xfId="0" applyNumberFormat="1" applyFont="1" applyFill="1" applyBorder="1" applyAlignment="1">
      <alignment horizontal="center"/>
    </xf>
    <xf numFmtId="0" fontId="17" fillId="9" borderId="8" xfId="0" applyFont="1" applyFill="1" applyBorder="1" applyAlignment="1">
      <alignment horizontal="center"/>
    </xf>
    <xf numFmtId="0" fontId="17" fillId="16" borderId="9" xfId="0" applyFont="1" applyFill="1" applyBorder="1" applyAlignment="1">
      <alignment horizontal="center"/>
    </xf>
    <xf numFmtId="0" fontId="16" fillId="18" borderId="0" xfId="0" applyFont="1" applyFill="1"/>
    <xf numFmtId="0" fontId="16" fillId="17" borderId="0" xfId="0" applyFont="1" applyFill="1"/>
    <xf numFmtId="0" fontId="16" fillId="0" borderId="0" xfId="0" applyFont="1" applyAlignment="1" applyProtection="1">
      <alignment horizontal="left" vertical="top"/>
      <protection locked="0"/>
    </xf>
    <xf numFmtId="9" fontId="16" fillId="0" borderId="0" xfId="0" applyNumberFormat="1" applyFont="1"/>
    <xf numFmtId="0" fontId="18" fillId="4" borderId="0" xfId="0" applyFont="1" applyFill="1"/>
    <xf numFmtId="0" fontId="18" fillId="5" borderId="0" xfId="0" applyFont="1" applyFill="1"/>
    <xf numFmtId="0" fontId="18" fillId="0" borderId="0" xfId="0" applyFont="1"/>
    <xf numFmtId="9" fontId="18" fillId="0" borderId="0" xfId="0" applyNumberFormat="1" applyFont="1"/>
    <xf numFmtId="0" fontId="19" fillId="0" borderId="0" xfId="0" applyFont="1"/>
    <xf numFmtId="0" fontId="0" fillId="11" borderId="0" xfId="0" applyFill="1"/>
    <xf numFmtId="0" fontId="6" fillId="21" borderId="0" xfId="0" applyFont="1" applyFill="1" applyAlignment="1">
      <alignment horizontal="center"/>
    </xf>
    <xf numFmtId="0" fontId="6" fillId="22" borderId="0" xfId="0" applyFont="1" applyFill="1" applyAlignment="1">
      <alignment horizontal="center"/>
    </xf>
    <xf numFmtId="0" fontId="6" fillId="23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14" fillId="0" borderId="0" xfId="2" applyFill="1" applyAlignment="1">
      <alignment horizontal="left"/>
    </xf>
    <xf numFmtId="9" fontId="0" fillId="0" borderId="0" xfId="1" applyFont="1" applyAlignment="1">
      <alignment horizontal="center"/>
    </xf>
    <xf numFmtId="0" fontId="6" fillId="24" borderId="0" xfId="0" applyFont="1" applyFill="1" applyAlignment="1">
      <alignment horizontal="left" vertical="top"/>
    </xf>
    <xf numFmtId="0" fontId="15" fillId="13" borderId="3" xfId="0" applyFont="1" applyFill="1" applyBorder="1" applyAlignment="1">
      <alignment horizontal="right" vertical="center"/>
    </xf>
    <xf numFmtId="0" fontId="17" fillId="15" borderId="8" xfId="0" applyFont="1" applyFill="1" applyBorder="1" applyAlignment="1">
      <alignment horizontal="right" vertical="top"/>
    </xf>
    <xf numFmtId="0" fontId="0" fillId="18" borderId="0" xfId="0" applyFill="1" applyAlignment="1">
      <alignment horizontal="right"/>
    </xf>
    <xf numFmtId="0" fontId="16" fillId="0" borderId="0" xfId="0" applyFont="1" applyAlignment="1">
      <alignment horizontal="right"/>
    </xf>
    <xf numFmtId="9" fontId="6" fillId="0" borderId="0" xfId="1" applyFont="1" applyAlignment="1" applyProtection="1">
      <alignment horizontal="center" vertical="top"/>
      <protection locked="0"/>
    </xf>
    <xf numFmtId="9" fontId="0" fillId="18" borderId="0" xfId="0" applyNumberFormat="1" applyFill="1"/>
    <xf numFmtId="0" fontId="10" fillId="2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0" fillId="0" borderId="0" xfId="0" applyFont="1"/>
    <xf numFmtId="0" fontId="21" fillId="0" borderId="0" xfId="0" applyFont="1"/>
    <xf numFmtId="14" fontId="0" fillId="0" borderId="14" xfId="0" applyNumberFormat="1" applyBorder="1"/>
    <xf numFmtId="0" fontId="10" fillId="25" borderId="1" xfId="0" applyFont="1" applyFill="1" applyBorder="1" applyAlignment="1">
      <alignment horizontal="center" vertical="center" wrapText="1"/>
    </xf>
    <xf numFmtId="15" fontId="6" fillId="0" borderId="0" xfId="0" applyNumberFormat="1" applyFont="1" applyAlignment="1">
      <alignment horizontal="center"/>
    </xf>
    <xf numFmtId="9" fontId="22" fillId="0" borderId="0" xfId="0" applyNumberFormat="1" applyFont="1"/>
    <xf numFmtId="9" fontId="23" fillId="0" borderId="0" xfId="0" applyNumberFormat="1" applyFont="1"/>
    <xf numFmtId="0" fontId="23" fillId="0" borderId="0" xfId="0" applyFont="1"/>
    <xf numFmtId="9" fontId="24" fillId="0" borderId="0" xfId="0" applyNumberFormat="1" applyFont="1"/>
    <xf numFmtId="0" fontId="22" fillId="0" borderId="0" xfId="0" applyFont="1"/>
    <xf numFmtId="9" fontId="25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15" fontId="6" fillId="20" borderId="0" xfId="0" applyNumberFormat="1" applyFont="1" applyFill="1" applyAlignment="1">
      <alignment horizontal="center"/>
    </xf>
    <xf numFmtId="0" fontId="0" fillId="11" borderId="0" xfId="0" applyFill="1" applyAlignment="1" applyProtection="1">
      <alignment vertical="top"/>
      <protection locked="0"/>
    </xf>
    <xf numFmtId="0" fontId="0" fillId="11" borderId="0" xfId="0" applyFill="1" applyAlignment="1" applyProtection="1">
      <alignment horizontal="center" vertical="top"/>
      <protection locked="0"/>
    </xf>
    <xf numFmtId="14" fontId="0" fillId="11" borderId="0" xfId="0" applyNumberFormat="1" applyFill="1" applyAlignment="1" applyProtection="1">
      <alignment horizontal="center" vertical="top"/>
      <protection locked="0"/>
    </xf>
    <xf numFmtId="164" fontId="0" fillId="11" borderId="0" xfId="0" applyNumberFormat="1" applyFill="1" applyAlignment="1" applyProtection="1">
      <alignment horizontal="center" vertical="top"/>
      <protection locked="0"/>
    </xf>
    <xf numFmtId="9" fontId="0" fillId="11" borderId="0" xfId="1" applyFont="1" applyFill="1" applyAlignment="1" applyProtection="1">
      <alignment horizontal="center" vertical="top"/>
      <protection locked="0"/>
    </xf>
    <xf numFmtId="0" fontId="0" fillId="11" borderId="0" xfId="0" applyFill="1" applyAlignment="1">
      <alignment horizontal="center" vertical="center"/>
    </xf>
    <xf numFmtId="14" fontId="0" fillId="11" borderId="0" xfId="0" applyNumberFormat="1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 applyProtection="1">
      <alignment horizontal="center" vertical="top" wrapText="1"/>
      <protection locked="0"/>
    </xf>
    <xf numFmtId="9" fontId="6" fillId="11" borderId="0" xfId="1" applyFont="1" applyFill="1" applyAlignment="1" applyProtection="1">
      <alignment horizontal="center" vertical="top"/>
      <protection locked="0"/>
    </xf>
    <xf numFmtId="0" fontId="0" fillId="0" borderId="0" xfId="0" applyAlignment="1">
      <alignment horizontal="center" wrapText="1"/>
    </xf>
    <xf numFmtId="166" fontId="6" fillId="0" borderId="0" xfId="0" applyNumberFormat="1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4" fillId="8" borderId="0" xfId="0" applyFont="1" applyFill="1"/>
    <xf numFmtId="0" fontId="0" fillId="20" borderId="0" xfId="0" applyFill="1"/>
    <xf numFmtId="0" fontId="10" fillId="26" borderId="1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9" fontId="26" fillId="0" borderId="0" xfId="0" applyNumberFormat="1" applyFont="1"/>
    <xf numFmtId="0" fontId="0" fillId="20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9" fontId="0" fillId="11" borderId="0" xfId="1" applyFont="1" applyFill="1" applyAlignment="1" applyProtection="1">
      <alignment horizontal="center"/>
      <protection locked="0"/>
    </xf>
    <xf numFmtId="0" fontId="6" fillId="13" borderId="0" xfId="0" applyFont="1" applyFill="1" applyAlignment="1">
      <alignment horizontal="center"/>
    </xf>
    <xf numFmtId="0" fontId="14" fillId="0" borderId="0" xfId="2" applyFill="1" applyAlignment="1">
      <alignment horizontal="center"/>
    </xf>
    <xf numFmtId="0" fontId="15" fillId="14" borderId="3" xfId="0" applyFont="1" applyFill="1" applyBorder="1" applyAlignment="1">
      <alignment horizontal="left" vertical="center"/>
    </xf>
    <xf numFmtId="0" fontId="15" fillId="14" borderId="3" xfId="0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90"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 patternType="none">
          <bgColor auto="1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BC1F8"/>
        </patternFill>
      </fill>
    </dxf>
    <dxf>
      <fill>
        <patternFill>
          <bgColor rgb="FFFBC1F8"/>
        </patternFill>
      </fill>
    </dxf>
    <dxf>
      <fill>
        <patternFill>
          <bgColor rgb="FFFBC1F8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13" formatCode="0%"/>
    </dxf>
    <dxf>
      <fill>
        <patternFill>
          <bgColor rgb="FFFFFFCC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ill>
        <patternFill>
          <bgColor rgb="FFFFA3A3"/>
        </patternFill>
      </fill>
    </dxf>
    <dxf>
      <fill>
        <patternFill>
          <bgColor rgb="FFFFFF99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colors>
    <mruColors>
      <color rgb="FFFFF0B2"/>
      <color rgb="FFFFFFCC"/>
      <color rgb="FFFFCC00"/>
      <color rgb="FFFCDE92"/>
      <color rgb="FFFDEEC7"/>
      <color rgb="FFFFB9B9"/>
      <color rgb="FFFFA3A3"/>
      <color rgb="FFFFFF99"/>
      <color rgb="FFF9B1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[ISQ Pipeline 2026.xlsx]Statistics!PivotTable3</c:name>
    <c:fmtId val="1"/>
  </c:pivotSource>
  <c:chart>
    <c:autoTitleDeleted val="1"/>
    <c:pivotFmts>
      <c:pivotFmt>
        <c:idx val="0"/>
        <c:spPr>
          <a:solidFill>
            <a:srgbClr val="FFCC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elivery" panose="020F0503020204020204" pitchFamily="34" charset="0"/>
                  <a:ea typeface="Delivery" panose="020F0503020204020204" pitchFamily="34" charset="0"/>
                  <a:cs typeface="Delivery" panose="020F0503020204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Statistics!$B$21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elivery" panose="020F0503020204020204" pitchFamily="34" charset="0"/>
                    <a:ea typeface="Delivery" panose="020F0503020204020204" pitchFamily="34" charset="0"/>
                    <a:cs typeface="Delivery" panose="020F05030202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Statistics!$A$22:$A$26</c:f>
              <c:strCache>
                <c:ptCount val="4"/>
                <c:pt idx="0">
                  <c:v>Americas</c:v>
                </c:pt>
                <c:pt idx="1">
                  <c:v>APAC</c:v>
                </c:pt>
                <c:pt idx="2">
                  <c:v>Telecoms</c:v>
                </c:pt>
                <c:pt idx="3">
                  <c:v>Hosting</c:v>
                </c:pt>
              </c:strCache>
            </c:strRef>
          </c:cat>
          <c:val>
            <c:numRef>
              <c:f>Statistics!$B$22:$B$26</c:f>
              <c:numCache>
                <c:formatCode>General</c:formatCode>
                <c:ptCount val="4"/>
                <c:pt idx="0">
                  <c:v>13</c:v>
                </c:pt>
                <c:pt idx="1">
                  <c:v>22</c:v>
                </c:pt>
                <c:pt idx="2">
                  <c:v>38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B-4B9E-8983-D8BD250A4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6774143"/>
        <c:axId val="2076777023"/>
      </c:barChart>
      <c:catAx>
        <c:axId val="207677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elivery" panose="020F0503020204020204" pitchFamily="34" charset="0"/>
                <a:ea typeface="Delivery" panose="020F0503020204020204" pitchFamily="34" charset="0"/>
                <a:cs typeface="Delivery" panose="020F0503020204020204" pitchFamily="34" charset="0"/>
              </a:defRPr>
            </a:pPr>
            <a:endParaRPr lang="en-US"/>
          </a:p>
        </c:txPr>
        <c:crossAx val="2076777023"/>
        <c:crosses val="autoZero"/>
        <c:auto val="1"/>
        <c:lblAlgn val="ctr"/>
        <c:lblOffset val="100"/>
        <c:noMultiLvlLbl val="0"/>
      </c:catAx>
      <c:valAx>
        <c:axId val="207677702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7677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Delivery" panose="020F0503020204020204" pitchFamily="34" charset="0"/>
          <a:ea typeface="Delivery" panose="020F0503020204020204" pitchFamily="34" charset="0"/>
          <a:cs typeface="Delivery" panose="020F05030202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[ISQ Pipeline 2026.xlsx]Statistics!PivotTable4</c:name>
    <c:fmtId val="9"/>
  </c:pivotSource>
  <c:chart>
    <c:autoTitleDeleted val="1"/>
    <c:pivotFmts>
      <c:pivotFmt>
        <c:idx val="0"/>
        <c:spPr>
          <a:solidFill>
            <a:srgbClr val="FFF0B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Delivery" panose="020F0503020204020204" pitchFamily="34" charset="0"/>
                  <a:ea typeface="Delivery" panose="020F0503020204020204" pitchFamily="34" charset="0"/>
                  <a:cs typeface="Delivery" panose="020F0503020204020204" pitchFamily="34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F0B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Delivery" panose="020F0503020204020204" pitchFamily="34" charset="0"/>
                    <a:ea typeface="Delivery" panose="020F0503020204020204" pitchFamily="34" charset="0"/>
                    <a:cs typeface="Delivery" panose="020F0503020204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Statistics!$A$39:$A$46</c:f>
              <c:strCache>
                <c:ptCount val="7"/>
                <c:pt idx="0">
                  <c:v>DeC</c:v>
                </c:pt>
                <c:pt idx="1">
                  <c:v>DGFF</c:v>
                </c:pt>
                <c:pt idx="2">
                  <c:v>DSC</c:v>
                </c:pt>
                <c:pt idx="3">
                  <c:v>EXP</c:v>
                </c:pt>
                <c:pt idx="4">
                  <c:v>ITS</c:v>
                </c:pt>
                <c:pt idx="5">
                  <c:v>Multiple</c:v>
                </c:pt>
                <c:pt idx="6">
                  <c:v>P&amp;P</c:v>
                </c:pt>
              </c:strCache>
            </c:strRef>
          </c:cat>
          <c:val>
            <c:numRef>
              <c:f>Statistics!$B$39:$B$46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17</c:v>
                </c:pt>
                <c:pt idx="3">
                  <c:v>16</c:v>
                </c:pt>
                <c:pt idx="4">
                  <c:v>50</c:v>
                </c:pt>
                <c:pt idx="5">
                  <c:v>10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1-487B-BFBD-C46EBBB28F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6291071"/>
        <c:axId val="1916292991"/>
      </c:barChart>
      <c:catAx>
        <c:axId val="191629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Delivery" panose="020F0503020204020204" pitchFamily="34" charset="0"/>
                <a:ea typeface="Delivery" panose="020F0503020204020204" pitchFamily="34" charset="0"/>
                <a:cs typeface="Delivery" panose="020F0503020204020204" pitchFamily="34" charset="0"/>
              </a:defRPr>
            </a:pPr>
            <a:endParaRPr lang="en-US"/>
          </a:p>
        </c:txPr>
        <c:crossAx val="1916292991"/>
        <c:crosses val="autoZero"/>
        <c:auto val="1"/>
        <c:lblAlgn val="ctr"/>
        <c:lblOffset val="100"/>
        <c:noMultiLvlLbl val="0"/>
      </c:catAx>
      <c:valAx>
        <c:axId val="191629299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1629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Delivery" panose="020F0503020204020204" pitchFamily="34" charset="0"/>
          <a:ea typeface="Delivery" panose="020F0503020204020204" pitchFamily="34" charset="0"/>
          <a:cs typeface="Delivery" panose="020F05030202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11</xdr:row>
      <xdr:rowOff>157162</xdr:rowOff>
    </xdr:from>
    <xdr:to>
      <xdr:col>12</xdr:col>
      <xdr:colOff>428625</xdr:colOff>
      <xdr:row>27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35020D-7F2B-9985-7177-293D3F551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29</xdr:row>
      <xdr:rowOff>157162</xdr:rowOff>
    </xdr:from>
    <xdr:to>
      <xdr:col>12</xdr:col>
      <xdr:colOff>428625</xdr:colOff>
      <xdr:row>45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1F99C2-D7E9-6C55-7757-D6BEDC2F1061}"/>
            </a:ext>
            <a:ext uri="{147F2762-F138-4A5C-976F-8EAC2B608ADB}">
              <a16:predDERef xmlns:a16="http://schemas.microsoft.com/office/drawing/2014/main" pred="{C935020D-7F2B-9985-7177-293D3F551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a Harris (DHL IT Services)" id="{901F0CD4-9A00-475B-A0BB-A1215526915A}" userId="S::sandra.harris@dhl.com::7a86718c-3daa-44f4-b19a-9b64060cec3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na Rackova (DHL IT Services)" refreshedDate="46175.669908449076" createdVersion="8" refreshedVersion="8" minRefreshableVersion="3" recordCount="103" xr:uid="{1286F94E-BCD7-45A5-880F-354F5A27F444}">
  <cacheSource type="worksheet">
    <worksheetSource ref="A1:Y102" sheet="Project documentation"/>
  </cacheSource>
  <cacheFields count="24">
    <cacheField name="Project name (as in ITS1)" numFmtId="0">
      <sharedItems/>
    </cacheField>
    <cacheField name="Tower" numFmtId="0">
      <sharedItems count="6">
        <s v="Americas"/>
        <s v="APAC"/>
        <s v="Hosting"/>
        <s v="Telecoms"/>
        <s v="IS" u="1"/>
        <e v="#N/A" u="1"/>
      </sharedItems>
    </cacheField>
    <cacheField name="Dr" numFmtId="0">
      <sharedItems/>
    </cacheField>
    <cacheField name="Externality" numFmtId="0">
      <sharedItems count="3">
        <s v="External"/>
        <s v="Internal"/>
        <e v="#N/A" u="1"/>
      </sharedItems>
    </cacheField>
    <cacheField name="BU" numFmtId="0">
      <sharedItems count="7">
        <s v="DSC"/>
        <s v="EXP"/>
        <s v="ITS"/>
        <s v="Multiple"/>
        <s v="DGFF"/>
        <s v="P&amp;P"/>
        <s v="DeC"/>
      </sharedItems>
    </cacheField>
    <cacheField name="Status" numFmtId="0">
      <sharedItems count="5">
        <s v="Completed"/>
        <s v="Ongoing"/>
        <s v="Initiation"/>
        <s v="On hold"/>
        <s v="Cancelled"/>
      </sharedItems>
    </cacheField>
    <cacheField name="Project Charter" numFmtId="0">
      <sharedItems containsBlank="1"/>
    </cacheField>
    <cacheField name="Project Charter reviewed by Hena" numFmtId="0">
      <sharedItems containsDate="1" containsBlank="1" containsMixedTypes="1" minDate="1905-07-17T00:00:00" maxDate="2026-05-13T00:00:00"/>
    </cacheField>
    <cacheField name="Project Plan" numFmtId="0">
      <sharedItems containsBlank="1"/>
    </cacheField>
    <cacheField name="Resource plan" numFmtId="0">
      <sharedItems containsBlank="1"/>
    </cacheField>
    <cacheField name="PSR" numFmtId="0">
      <sharedItems containsBlank="1"/>
    </cacheField>
    <cacheField name="Lesson Learned" numFmtId="0">
      <sharedItems containsBlank="1"/>
    </cacheField>
    <cacheField name="Lessons Learned reviewed by Hena" numFmtId="0">
      <sharedItems containsString="0" containsBlank="1" containsNumber="1" containsInteger="1" minValue="2025" maxValue="2025"/>
    </cacheField>
    <cacheField name="Project Closure" numFmtId="0">
      <sharedItems containsBlank="1"/>
    </cacheField>
    <cacheField name="Project Closure reviewed by Hena" numFmtId="0">
      <sharedItems containsString="0" containsBlank="1" containsNumber="1" containsInteger="1" minValue="2025" maxValue="2025"/>
    </cacheField>
    <cacheField name="IS portfolio review scope" numFmtId="0">
      <sharedItems containsBlank="1"/>
    </cacheField>
    <cacheField name="Project Owner" numFmtId="0">
      <sharedItems containsBlank="1"/>
    </cacheField>
    <cacheField name="SEF" numFmtId="0">
      <sharedItems containsBlank="1"/>
    </cacheField>
    <cacheField name="RAG status" numFmtId="0">
      <sharedItems containsNonDate="0" containsString="0" containsBlank="1"/>
    </cacheField>
    <cacheField name="29th Jan scope" numFmtId="14">
      <sharedItems containsBlank="1"/>
    </cacheField>
    <cacheField name="24th Feb scope" numFmtId="0">
      <sharedItems containsBlank="1"/>
    </cacheField>
    <cacheField name="26th Mar scope" numFmtId="0">
      <sharedItems containsBlank="1"/>
    </cacheField>
    <cacheField name="28th Apr scope" numFmtId="0">
      <sharedItems containsBlank="1"/>
    </cacheField>
    <cacheField name="28th May sco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8.42839710648" createdVersion="8" refreshedVersion="8" minRefreshableVersion="3" recordCount="131" xr:uid="{E09D83F2-6F14-4671-B729-A17B5FCFBAF3}">
  <cacheSource type="worksheet">
    <worksheetSource ref="A2:Y133" sheet="Individual Allocation"/>
  </cacheSource>
  <cacheFields count="25">
    <cacheField name="Initial IP_x000a_Tower" numFmtId="0">
      <sharedItems containsMixedTypes="1" containsNumber="1" containsInteger="1" minValue="0" maxValue="0" count="5">
        <s v="Telecoms"/>
        <s v="APAC"/>
        <s v="Hosting"/>
        <e v="#N/A"/>
        <n v="0" u="1"/>
      </sharedItems>
    </cacheField>
    <cacheField name="Profit Ownership" numFmtId="0">
      <sharedItems/>
    </cacheField>
    <cacheField name="PM Depart" numFmtId="0">
      <sharedItems containsBlank="1" count="6">
        <s v="Telecoms"/>
        <s v="Telecoms-APAC"/>
        <s v="Infra Services"/>
        <m u="1"/>
        <s v=" " u="1"/>
        <e v="#N/A" u="1"/>
      </sharedItems>
    </cacheField>
    <cacheField name="PM Name" numFmtId="0">
      <sharedItems/>
    </cacheField>
    <cacheField name="PM Name Secondary" numFmtId="0">
      <sharedItems containsBlank="1" count="34">
        <s v="Alina Nosulych"/>
        <s v="Andrea Stratilova"/>
        <s v="Daniel Lai"/>
        <s v="Dilyara Zeletdinova"/>
        <s v="Hana Kodatova"/>
        <s v="Hana Sinska"/>
        <s v="Irina Denisova"/>
        <s v="Ivan Godunov"/>
        <s v="Jan Cesnek"/>
        <s v="Jan Ondrak"/>
        <s v="Jan Truksa"/>
        <s v="Jana Veberova"/>
        <s v="Jaroslav Kral"/>
        <s v="Katerina Schmiedova"/>
        <s v="Kirill Shabalkin"/>
        <s v="Kristina Fojtkova"/>
        <s v="Lisette Fincke"/>
        <s v="Lucie Kolarikova"/>
        <s v="Ludek Houska"/>
        <s v="Muhammad Yusry"/>
        <s v="Muthu M Ramasamy"/>
        <s v="Neeraja Duddu"/>
        <s v="Prosen Chandra"/>
        <s v="Rene Zamecnik"/>
        <s v="Ruthie Buenafe"/>
        <s v="Sanju Hornikova"/>
        <s v="Saranyah Vairavan"/>
        <s v="Yu Mon Htay"/>
        <s v="Zied Erebai"/>
        <s v="Zlata Benesova"/>
        <s v="Zdenek Novotny"/>
        <s v="Pavla Zidkova"/>
        <s v="Michel De Heij"/>
        <m u="1"/>
      </sharedItems>
    </cacheField>
    <cacheField name="Project name" numFmtId="0">
      <sharedItems/>
    </cacheField>
    <cacheField name="Externality" numFmtId="0">
      <sharedItems containsBlank="1" count="34">
        <s v="Internal"/>
        <s v="External"/>
        <e v="#N/A"/>
        <s v="Inernal"/>
        <m u="1"/>
        <s v=" " u="1"/>
        <s v="Alina Nosulych" u="1"/>
        <s v="Andrea Stratilova" u="1"/>
        <s v="Daniel Lai" u="1"/>
        <s v="Dilyara Zeletdinova" u="1"/>
        <s v="Jaroslav Kral" u="1"/>
        <s v="Katerina Soukupova" u="1"/>
        <s v="Hana Kodatova" u="1"/>
        <s v="Neeraja Duddu" u="1"/>
        <s v="Hana Sinska" u="1"/>
        <s v="Jana Veberova" u="1"/>
        <s v="Ivan Godunov" u="1"/>
        <s v="Jan Cesnek" u="1"/>
        <s v="Jan Ondrak" u="1"/>
        <s v="Jan Truksa" u="1"/>
        <s v="Kirill Shabalkin" u="1"/>
        <s v="Kristina Fojtkova" u="1"/>
        <s v="Lisette Fincke" u="1"/>
        <s v="Ludek Houska" u="1"/>
        <s v="Muhammad Yusry" u="1"/>
        <s v="Muthu Ramasamy" u="1"/>
        <s v="Prosen Chandra" u="1"/>
        <s v="Rene Zamecnik" u="1"/>
        <s v="Zlata Benesova" u="1"/>
        <s v="Sona Rackova" u="1"/>
        <s v="Ruthie Buenafe" u="1"/>
        <s v="Saranyah Vairavan" u="1"/>
        <s v="Yu Mon Htay" u="1"/>
        <s v="Zied Erebai" u="1"/>
      </sharedItems>
    </cacheField>
    <cacheField name="Order N." numFmtId="0">
      <sharedItems containsMixedTypes="1" containsNumber="1" containsInteger="1" minValue="0" maxValue="89101329"/>
    </cacheField>
    <cacheField name="Notes" numFmtId="0">
      <sharedItems containsNonDate="0" containsString="0" containsBlank="1"/>
    </cacheField>
    <cacheField name="Value" numFmtId="0">
      <sharedItems containsMixedTypes="1" containsNumber="1" minValue="0" maxValue="1420000"/>
    </cacheField>
    <cacheField name="Project status" numFmtId="0">
      <sharedItems containsBlank="1" containsMixedTypes="1" containsNumber="1" containsInteger="1" minValue="0" maxValue="91300234" count="42">
        <s v="Ongoing"/>
        <s v="Completed"/>
        <s v="On hold"/>
        <s v="Cancelled"/>
        <s v="Initiation"/>
        <e v="#N/A"/>
        <m/>
        <n v="0" u="1"/>
        <n v="89100298" u="1"/>
        <n v="89100536" u="1"/>
        <n v="88100313" u="1"/>
        <n v="89101258" u="1"/>
        <n v="87101375" u="1"/>
        <n v="87101359" u="1"/>
        <n v="31319957" u="1"/>
        <n v="87002028" u="1"/>
        <n v="87101414" u="1"/>
        <n v="31319332" u="1"/>
        <n v="87002011" u="1"/>
        <n v="89101198" u="1"/>
        <n v="87001963" u="1"/>
        <n v="87101401" u="1"/>
        <n v="31317555" u="1"/>
        <n v="89101178" u="1"/>
        <n v="89100541" u="1"/>
        <n v="31310721" u="1"/>
        <n v="87101349" u="1"/>
        <n v="87101411" u="1"/>
        <n v="87101362" u="1"/>
        <n v="89101048" u="1"/>
        <n v="31319580" u="1"/>
        <n v="87101290" u="1"/>
        <n v="87002025" u="1"/>
        <n v="31319843" u="1"/>
        <n v="31320188" u="1"/>
        <n v="87001931" u="1"/>
        <n v="31318078" u="1"/>
        <n v="89101224" u="1"/>
        <n v="89101264" u="1"/>
        <n v="31318380" u="1"/>
        <n v="31318231" u="1"/>
        <n v="91300234" u="1"/>
      </sharedItems>
    </cacheField>
    <cacheField name="Probability" numFmtId="0">
      <sharedItems containsMixedTypes="1" containsNumber="1" minValue="0" maxValue="1600000" count="49">
        <n v="1"/>
        <n v="0.75"/>
        <n v="0.25"/>
        <n v="0.9"/>
        <n v="93772"/>
        <n v="12008"/>
        <n v="114554"/>
        <n v="0"/>
        <n v="999000"/>
        <n v="46888"/>
        <n v="29148"/>
        <n v="42861.279999999999"/>
        <n v="36000"/>
        <e v="#N/A"/>
        <n v="86549"/>
        <n v="56108.800000000003"/>
        <n v="12679.68"/>
        <n v="1355572"/>
        <n v="50000"/>
        <n v="75000"/>
        <n v="0.05" u="1"/>
        <n v="0.5" u="1"/>
        <n v="0.8" u="1"/>
        <n v="294645" u="1"/>
        <n v="1600000" u="1"/>
        <n v="533000" u="1"/>
        <n v="1002000" u="1"/>
        <n v="474281" u="1"/>
        <n v="93852" u="1"/>
        <n v="321571" u="1"/>
        <n v="500000" u="1"/>
        <n v="1000" u="1"/>
        <n v="687000" u="1"/>
        <n v="450000" u="1"/>
        <n v="250000" u="1"/>
        <n v="15771.86001" u="1"/>
        <n v="7800" u="1"/>
        <n v="1393980" u="1"/>
        <n v="71551.11" u="1"/>
        <n v="4325.4399999999996" u="1"/>
        <n v="222000" u="1"/>
        <n v="49905" u="1"/>
        <n v="1379571.54" u="1"/>
        <n v="73000" u="1"/>
        <n v="42480" u="1"/>
        <n v="5099.8" u="1"/>
        <n v="255510" u="1"/>
        <n v="1000000" u="1"/>
        <n v="300866.37" u="1"/>
      </sharedItems>
    </cacheField>
    <cacheField name="Jan " numFmtId="0">
      <sharedItems containsString="0" containsBlank="1" containsNumber="1" minValue="0.02" maxValue="1"/>
    </cacheField>
    <cacheField name="Feb" numFmtId="0">
      <sharedItems containsString="0" containsBlank="1" containsNumber="1" minValue="0.02" maxValue="1"/>
    </cacheField>
    <cacheField name="Mar" numFmtId="0">
      <sharedItems containsString="0" containsBlank="1" containsNumber="1" minValue="0.02" maxValue="1"/>
    </cacheField>
    <cacheField name="Apr" numFmtId="0">
      <sharedItems containsString="0" containsBlank="1" containsNumber="1" minValue="0.02" maxValue="1"/>
    </cacheField>
    <cacheField name="May" numFmtId="0">
      <sharedItems containsString="0" containsBlank="1" containsNumber="1" minValue="0.02" maxValue="1"/>
    </cacheField>
    <cacheField name="Jun" numFmtId="0">
      <sharedItems containsString="0" containsBlank="1" containsNumber="1" minValue="0.02" maxValue="1"/>
    </cacheField>
    <cacheField name="Jul" numFmtId="0">
      <sharedItems containsString="0" containsBlank="1" containsNumber="1" minValue="0.02" maxValue="1"/>
    </cacheField>
    <cacheField name="Aug" numFmtId="0">
      <sharedItems containsString="0" containsBlank="1" containsNumber="1" minValue="0.02" maxValue="1"/>
    </cacheField>
    <cacheField name="Sep" numFmtId="0">
      <sharedItems containsString="0" containsBlank="1" containsNumber="1" minValue="0.02" maxValue="1"/>
    </cacheField>
    <cacheField name="Oct" numFmtId="0">
      <sharedItems containsString="0" containsBlank="1" containsNumber="1" minValue="0.02" maxValue="1"/>
    </cacheField>
    <cacheField name="Nov" numFmtId="0">
      <sharedItems containsString="0" containsBlank="1" containsNumber="1" minValue="0.02" maxValue="1"/>
    </cacheField>
    <cacheField name="Dec" numFmtId="0">
      <sharedItems containsString="0" containsBlank="1" containsNumber="1" minValue="0.05" maxValue="1"/>
    </cacheField>
    <cacheField name="Is it in _x000a_project list?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s v="DSCUS New LPAR Optimus"/>
    <x v="0"/>
    <s v="Carlos Crawford"/>
    <x v="0"/>
    <x v="0"/>
    <x v="0"/>
    <s v="not required"/>
    <s v="not required"/>
    <s v="not required"/>
    <s v="not required"/>
    <s v="not required"/>
    <m/>
    <m/>
    <m/>
    <m/>
    <m/>
    <m/>
    <m/>
    <m/>
    <m/>
    <m/>
    <m/>
    <m/>
    <m/>
  </r>
  <r>
    <s v="ExpAM-17029-DHCP Latam Migration"/>
    <x v="0"/>
    <s v="Carlos Crawford"/>
    <x v="0"/>
    <x v="1"/>
    <x v="1"/>
    <s v="yes "/>
    <d v="2026-04-20T00:00:00"/>
    <s v="yes "/>
    <s v="yes "/>
    <s v="PJ20252652"/>
    <m/>
    <m/>
    <m/>
    <m/>
    <m/>
    <m/>
    <m/>
    <m/>
    <m/>
    <m/>
    <m/>
    <m/>
    <m/>
  </r>
  <r>
    <s v="DSC - DHCP Migration"/>
    <x v="0"/>
    <s v="Carlos Crawford"/>
    <x v="0"/>
    <x v="0"/>
    <x v="1"/>
    <s v="yes "/>
    <d v="2026-04-20T00:00:00"/>
    <s v="yes "/>
    <s v="yes "/>
    <s v="PJ20252837"/>
    <m/>
    <m/>
    <m/>
    <m/>
    <m/>
    <m/>
    <m/>
    <m/>
    <m/>
    <m/>
    <m/>
    <m/>
    <m/>
  </r>
  <r>
    <s v="EXP AM Win 2016 OS Refresh"/>
    <x v="0"/>
    <s v="Daniela Ocampo/ Carlos Crawford (MX)"/>
    <x v="0"/>
    <x v="1"/>
    <x v="1"/>
    <s v="yes "/>
    <d v="2026-04-20T00:00:00"/>
    <s v="yes "/>
    <s v="yes "/>
    <s v="PJ20252385"/>
    <m/>
    <m/>
    <m/>
    <m/>
    <s v="yes"/>
    <s v="Neeraja Duddu"/>
    <m/>
    <m/>
    <m/>
    <m/>
    <m/>
    <s v="yes"/>
    <m/>
  </r>
  <r>
    <s v="DSCBR 22 Servers Migration to NAS"/>
    <x v="0"/>
    <s v="Carlos Crawford"/>
    <x v="0"/>
    <x v="0"/>
    <x v="1"/>
    <s v="yes "/>
    <d v="2026-04-20T00:00:00"/>
    <s v="yes "/>
    <s v="yes "/>
    <s v="PJ20252402"/>
    <m/>
    <m/>
    <m/>
    <m/>
    <m/>
    <m/>
    <m/>
    <m/>
    <m/>
    <m/>
    <m/>
    <m/>
    <m/>
  </r>
  <r>
    <s v="DSCUS IOT 3rd Party Management 5 Sites P"/>
    <x v="0"/>
    <s v="Daniela Ocampo"/>
    <x v="0"/>
    <x v="0"/>
    <x v="1"/>
    <s v="yes "/>
    <d v="2026-04-20T00:00:00"/>
    <s v="yes "/>
    <s v="yes "/>
    <s v="PJ20252619"/>
    <m/>
    <m/>
    <m/>
    <m/>
    <m/>
    <m/>
    <m/>
    <m/>
    <m/>
    <m/>
    <m/>
    <m/>
    <m/>
  </r>
  <r>
    <s v="ExpAM-16534-UCC Telephony 2024 BR"/>
    <x v="0"/>
    <s v="Daniela Ocampo"/>
    <x v="0"/>
    <x v="1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EXP AM JFK SATS – SCADA"/>
    <x v="0"/>
    <s v="Daniela Ocampo"/>
    <x v="0"/>
    <x v="1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ExpAM UCC Telephony"/>
    <x v="0"/>
    <s v="Daniela Ocampo"/>
    <x v="0"/>
    <x v="1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DSCUS Transport GovCloud Enclave BUILD P"/>
    <x v="0"/>
    <s v="Dayanna Abarca"/>
    <x v="0"/>
    <x v="0"/>
    <x v="1"/>
    <s v="yes "/>
    <d v="2026-01-30T00:00:00"/>
    <s v="yes "/>
    <s v="yes "/>
    <s v="PJ20251428"/>
    <s v="yes "/>
    <m/>
    <m/>
    <m/>
    <m/>
    <s v="Zdenek Suchel"/>
    <m/>
    <m/>
    <m/>
    <m/>
    <m/>
    <m/>
    <m/>
  </r>
  <r>
    <s v="DSCUS Inmar - Transition to DHL Standard"/>
    <x v="0"/>
    <s v="William Exham"/>
    <x v="0"/>
    <x v="0"/>
    <x v="1"/>
    <s v="yes "/>
    <d v="2026-01-30T00:00:00"/>
    <s v="yes "/>
    <s v="yes "/>
    <s v="PJ20251543"/>
    <m/>
    <m/>
    <m/>
    <m/>
    <s v="yes"/>
    <s v="Barbora Vesela"/>
    <m/>
    <m/>
    <m/>
    <s v="yes"/>
    <m/>
    <m/>
    <m/>
  </r>
  <r>
    <s v="Private Cloud 2.0 - Phase 1"/>
    <x v="1"/>
    <s v="Daniel Lai"/>
    <x v="1"/>
    <x v="2"/>
    <x v="0"/>
    <s v="In Progress"/>
    <m/>
    <s v="yes "/>
    <s v="yes "/>
    <s v="yes "/>
    <m/>
    <m/>
    <m/>
    <m/>
    <m/>
    <s v="Jan Havel"/>
    <s v="yes"/>
    <m/>
    <s v="yes"/>
    <m/>
    <m/>
    <m/>
    <m/>
  </r>
  <r>
    <s v="Private Cloud 2.0 - Phase 2"/>
    <x v="1"/>
    <s v="Daniel Lai"/>
    <x v="1"/>
    <x v="2"/>
    <x v="2"/>
    <s v="yes "/>
    <m/>
    <s v="yes "/>
    <s v="yes "/>
    <s v="yes "/>
    <m/>
    <m/>
    <m/>
    <m/>
    <s v="yes"/>
    <s v="Amitabh"/>
    <s v="yes"/>
    <m/>
    <m/>
    <m/>
    <s v="yes"/>
    <m/>
    <m/>
  </r>
  <r>
    <s v="EXP GL Resilience 2.0_ISQ_Automation"/>
    <x v="1"/>
    <s v="Lisette Fincke"/>
    <x v="0"/>
    <x v="1"/>
    <x v="1"/>
    <s v="yes "/>
    <m/>
    <s v="yes "/>
    <s v="yes "/>
    <s v="PJ20241298"/>
    <m/>
    <m/>
    <m/>
    <m/>
    <s v="yes"/>
    <s v="Adrian Apthorp"/>
    <m/>
    <m/>
    <m/>
    <m/>
    <s v="yes"/>
    <m/>
    <s v="yes"/>
  </r>
  <r>
    <s v="FreeRadius Sunset "/>
    <x v="1"/>
    <s v="Lisette Fincke"/>
    <x v="1"/>
    <x v="2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ITS Infosec Program management"/>
    <x v="1"/>
    <s v="Muhammad Yusry"/>
    <x v="1"/>
    <x v="2"/>
    <x v="0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DSCAP-Windows_2016_EOS_Assessment"/>
    <x v="1"/>
    <s v="Muhammad Yusry"/>
    <x v="0"/>
    <x v="0"/>
    <x v="0"/>
    <m/>
    <m/>
    <m/>
    <s v="yes "/>
    <m/>
    <m/>
    <m/>
    <m/>
    <m/>
    <m/>
    <s v="Alvin Ho"/>
    <m/>
    <m/>
    <m/>
    <m/>
    <m/>
    <m/>
    <m/>
  </r>
  <r>
    <s v="Managed Partner for Public Cloud serv"/>
    <x v="1"/>
    <s v="Muhammad Yusry"/>
    <x v="1"/>
    <x v="2"/>
    <x v="1"/>
    <m/>
    <m/>
    <m/>
    <s v="not required"/>
    <m/>
    <m/>
    <m/>
    <m/>
    <m/>
    <m/>
    <s v="Jan Havel"/>
    <m/>
    <m/>
    <m/>
    <m/>
    <m/>
    <m/>
    <m/>
  </r>
  <r>
    <s v="DC Fortigate Refresh - GLOBAL"/>
    <x v="1"/>
    <s v="Muhammad Yusry"/>
    <x v="1"/>
    <x v="2"/>
    <x v="1"/>
    <m/>
    <m/>
    <m/>
    <m/>
    <m/>
    <m/>
    <m/>
    <m/>
    <m/>
    <m/>
    <m/>
    <m/>
    <m/>
    <m/>
    <m/>
    <m/>
    <m/>
    <m/>
  </r>
  <r>
    <s v="AP UCC Implementations"/>
    <x v="1"/>
    <s v="Muthu Ramasamy"/>
    <x v="0"/>
    <x v="3"/>
    <x v="1"/>
    <m/>
    <m/>
    <m/>
    <s v="not required"/>
    <m/>
    <m/>
    <m/>
    <m/>
    <m/>
    <m/>
    <m/>
    <m/>
    <m/>
    <m/>
    <m/>
    <m/>
    <m/>
    <m/>
  </r>
  <r>
    <s v="ExpMena-17127-DHCP Migration"/>
    <x v="1"/>
    <s v="Muthu Ramasamy"/>
    <x v="0"/>
    <x v="1"/>
    <x v="1"/>
    <m/>
    <m/>
    <s v="yes "/>
    <m/>
    <m/>
    <m/>
    <m/>
    <m/>
    <m/>
    <m/>
    <m/>
    <m/>
    <m/>
    <m/>
    <m/>
    <m/>
    <m/>
    <m/>
  </r>
  <r>
    <s v="ExpEU-17125- Spain DHCP Migration"/>
    <x v="1"/>
    <s v="Muthu Ramasamy"/>
    <x v="0"/>
    <x v="1"/>
    <x v="1"/>
    <m/>
    <m/>
    <s v="yes "/>
    <m/>
    <m/>
    <m/>
    <m/>
    <m/>
    <m/>
    <m/>
    <m/>
    <m/>
    <m/>
    <m/>
    <m/>
    <m/>
    <m/>
    <m/>
  </r>
  <r>
    <s v="Broadcom Ghost replacement"/>
    <x v="1"/>
    <s v="Prosen Chandra"/>
    <x v="1"/>
    <x v="2"/>
    <x v="1"/>
    <s v="yes "/>
    <m/>
    <s v="yes "/>
    <s v="yes "/>
    <s v="PJ20240296"/>
    <m/>
    <m/>
    <m/>
    <m/>
    <s v="yes"/>
    <s v="Vit Rocek"/>
    <s v="yes"/>
    <m/>
    <s v="yes"/>
    <m/>
    <s v="yes"/>
    <m/>
    <s v="yes"/>
  </r>
  <r>
    <s v="Global consistent monitoring and Test servers monitoring"/>
    <x v="1"/>
    <s v="Prosen Chandra"/>
    <x v="1"/>
    <x v="2"/>
    <x v="0"/>
    <s v="yes "/>
    <m/>
    <s v="yes "/>
    <s v="not required"/>
    <s v="yes "/>
    <s v="yes "/>
    <m/>
    <s v="yes "/>
    <m/>
    <m/>
    <m/>
    <m/>
    <m/>
    <m/>
    <m/>
    <m/>
    <m/>
    <m/>
  </r>
  <r>
    <s v="Openshift integration into Netbackup"/>
    <x v="1"/>
    <s v="Prosen Chandra"/>
    <x v="1"/>
    <x v="2"/>
    <x v="1"/>
    <s v="yes "/>
    <m/>
    <s v="yes "/>
    <s v="not required"/>
    <s v="PJ20240068"/>
    <m/>
    <m/>
    <m/>
    <m/>
    <s v="yes"/>
    <s v="Ondrej Svoboda"/>
    <m/>
    <m/>
    <m/>
    <m/>
    <s v="yes"/>
    <m/>
    <m/>
  </r>
  <r>
    <s v="Exchange Downgrade and Cloud Readiness"/>
    <x v="1"/>
    <s v="Ruthie Buenafe"/>
    <x v="1"/>
    <x v="2"/>
    <x v="1"/>
    <m/>
    <m/>
    <m/>
    <s v="not required"/>
    <m/>
    <m/>
    <m/>
    <m/>
    <m/>
    <m/>
    <m/>
    <m/>
    <m/>
    <m/>
    <m/>
    <m/>
    <m/>
    <m/>
  </r>
  <r>
    <s v="M365 Tenant Configuration Backup &amp; Recovery"/>
    <x v="1"/>
    <s v="Ruthie Buenafe"/>
    <x v="1"/>
    <x v="2"/>
    <x v="1"/>
    <m/>
    <m/>
    <m/>
    <s v="not required"/>
    <m/>
    <m/>
    <m/>
    <m/>
    <m/>
    <m/>
    <m/>
    <m/>
    <m/>
    <m/>
    <m/>
    <m/>
    <m/>
    <m/>
  </r>
  <r>
    <s v="DGFF-AP-DGF-CN-HK-RIM-HOSTING Tech Refresh 2025 BUILD"/>
    <x v="1"/>
    <s v="Saranyah Vairavan"/>
    <x v="0"/>
    <x v="4"/>
    <x v="1"/>
    <s v="yes "/>
    <m/>
    <s v="yes "/>
    <s v="yes "/>
    <s v="yes "/>
    <m/>
    <m/>
    <m/>
    <m/>
    <s v="yes"/>
    <m/>
    <m/>
    <m/>
    <m/>
    <m/>
    <m/>
    <m/>
    <s v="yes"/>
  </r>
  <r>
    <s v="DSC-GSL-B-SeLECT-Emulator migration-ITPM"/>
    <x v="1"/>
    <s v="Saranyah Vairavan"/>
    <x v="0"/>
    <x v="0"/>
    <x v="0"/>
    <s v="yes "/>
    <m/>
    <s v="yes "/>
    <s v="yes "/>
    <s v="yes "/>
    <m/>
    <m/>
    <m/>
    <m/>
    <m/>
    <m/>
    <m/>
    <m/>
    <m/>
    <m/>
    <m/>
    <m/>
    <m/>
  </r>
  <r>
    <s v="_x000a_DSC-GSL-B-SeLECT-Emulator migration -ELR"/>
    <x v="1"/>
    <s v="Saranyah Vairavan"/>
    <x v="0"/>
    <x v="0"/>
    <x v="0"/>
    <m/>
    <m/>
    <m/>
    <m/>
    <m/>
    <m/>
    <m/>
    <m/>
    <m/>
    <m/>
    <m/>
    <m/>
    <m/>
    <m/>
    <m/>
    <m/>
    <m/>
    <m/>
  </r>
  <r>
    <s v="Discovery Inventory PoC"/>
    <x v="2"/>
    <s v="Hana Kodatova"/>
    <x v="1"/>
    <x v="2"/>
    <x v="1"/>
    <s v="yes "/>
    <d v="2026-04-13T00:00:00"/>
    <m/>
    <s v="yes "/>
    <s v="PJ20260506"/>
    <m/>
    <m/>
    <m/>
    <m/>
    <s v="yes"/>
    <s v="Ales Trekoval"/>
    <m/>
    <m/>
    <m/>
    <m/>
    <m/>
    <s v="yes"/>
    <m/>
  </r>
  <r>
    <s v="DSC FR - Infolog upgrade IT PM"/>
    <x v="2"/>
    <s v="Hana Kodatova"/>
    <x v="0"/>
    <x v="0"/>
    <x v="0"/>
    <s v="yes "/>
    <d v="1905-07-17T00:00:00"/>
    <s v="yes "/>
    <s v="yes "/>
    <s v="PJ20251811"/>
    <s v="yes "/>
    <n v="2025"/>
    <s v="yes "/>
    <n v="2025"/>
    <m/>
    <s v="Sylvain Lepine"/>
    <m/>
    <m/>
    <m/>
    <s v="yes"/>
    <m/>
    <m/>
    <m/>
  </r>
  <r>
    <s v="Storage TR 2026"/>
    <x v="2"/>
    <s v="Hana Kodatova"/>
    <x v="1"/>
    <x v="2"/>
    <x v="1"/>
    <m/>
    <m/>
    <m/>
    <m/>
    <s v="PJ20260327"/>
    <m/>
    <m/>
    <m/>
    <m/>
    <s v="yes"/>
    <s v="Pavel Lipavsky"/>
    <m/>
    <m/>
    <m/>
    <m/>
    <m/>
    <m/>
    <s v="yes"/>
  </r>
  <r>
    <s v="Secure API Testing - Service Introduction"/>
    <x v="2"/>
    <s v="Hana Sinska"/>
    <x v="1"/>
    <x v="2"/>
    <x v="1"/>
    <s v="yes "/>
    <d v="2026-03-09T00:00:00"/>
    <s v="yes "/>
    <s v="yes "/>
    <s v="PJ20251996"/>
    <s v="yes "/>
    <m/>
    <m/>
    <m/>
    <s v="?"/>
    <m/>
    <m/>
    <m/>
    <m/>
    <m/>
    <m/>
    <m/>
    <m/>
  </r>
  <r>
    <s v="Green Accounting"/>
    <x v="2"/>
    <s v="Hana Sinska"/>
    <x v="1"/>
    <x v="2"/>
    <x v="3"/>
    <s v="yes "/>
    <m/>
    <m/>
    <s v="yes "/>
    <s v="PJ20240627"/>
    <m/>
    <m/>
    <m/>
    <m/>
    <m/>
    <m/>
    <m/>
    <m/>
    <m/>
    <m/>
    <m/>
    <m/>
    <m/>
  </r>
  <r>
    <s v="Dell Server Onboarding"/>
    <x v="2"/>
    <s v="Hana Sinska"/>
    <x v="1"/>
    <x v="2"/>
    <x v="2"/>
    <m/>
    <m/>
    <m/>
    <s v="yes "/>
    <s v="PJ20261057"/>
    <m/>
    <m/>
    <m/>
    <m/>
    <s v="yes"/>
    <s v="Jan Havel"/>
    <m/>
    <m/>
    <m/>
    <m/>
    <m/>
    <s v="yes"/>
    <m/>
  </r>
  <r>
    <s v="Internal servers EOL"/>
    <x v="2"/>
    <s v="Hana Sinska"/>
    <x v="1"/>
    <x v="2"/>
    <x v="1"/>
    <m/>
    <m/>
    <m/>
    <s v="yes "/>
    <s v="PJ20250912"/>
    <m/>
    <m/>
    <m/>
    <m/>
    <s v="yes"/>
    <s v="Barbora Vesela"/>
    <m/>
    <m/>
    <m/>
    <s v="yes"/>
    <m/>
    <m/>
    <s v="yes"/>
  </r>
  <r>
    <s v="GWSS 2.0"/>
    <x v="2"/>
    <s v="Henrieta Schotzova"/>
    <x v="0"/>
    <x v="1"/>
    <x v="1"/>
    <s v="yes "/>
    <m/>
    <m/>
    <m/>
    <s v="PJ20250919"/>
    <m/>
    <m/>
    <m/>
    <m/>
    <s v="yes"/>
    <s v="Henrieta Scholtzova"/>
    <m/>
    <m/>
    <m/>
    <m/>
    <m/>
    <m/>
    <m/>
  </r>
  <r>
    <s v="PoC - BMC - OpenShift onboarding"/>
    <x v="2"/>
    <s v="Ivan Godunov"/>
    <x v="1"/>
    <x v="2"/>
    <x v="1"/>
    <s v="yes "/>
    <d v="2026-03-09T00:00:00"/>
    <s v="yes "/>
    <s v="not required"/>
    <s v="not required"/>
    <m/>
    <m/>
    <m/>
    <m/>
    <m/>
    <m/>
    <m/>
    <m/>
    <m/>
    <m/>
    <m/>
    <m/>
    <m/>
  </r>
  <r>
    <s v="UES ITS Managed Server"/>
    <x v="2"/>
    <s v="Ivan Godunov"/>
    <x v="1"/>
    <x v="2"/>
    <x v="1"/>
    <m/>
    <m/>
    <m/>
    <s v="not required"/>
    <s v="not required"/>
    <m/>
    <m/>
    <m/>
    <m/>
    <m/>
    <m/>
    <m/>
    <m/>
    <m/>
    <m/>
    <m/>
    <m/>
    <m/>
  </r>
  <r>
    <s v="ITS resilient operations"/>
    <x v="2"/>
    <s v="Ivan Godunov"/>
    <x v="1"/>
    <x v="2"/>
    <x v="1"/>
    <s v="yes "/>
    <d v="2026-05-25T00:00:00"/>
    <m/>
    <m/>
    <s v="PJ20261090"/>
    <m/>
    <m/>
    <m/>
    <m/>
    <s v="yes"/>
    <s v="Youssef Choueiry"/>
    <m/>
    <m/>
    <m/>
    <m/>
    <m/>
    <s v="yes"/>
    <m/>
  </r>
  <r>
    <s v="Automated Deployment v2 - 2026 SEF"/>
    <x v="2"/>
    <s v="Jan Truksa"/>
    <x v="1"/>
    <x v="2"/>
    <x v="3"/>
    <s v="yes "/>
    <m/>
    <s v="yes "/>
    <s v="yes "/>
    <s v="PJ20260223"/>
    <s v="Ongoing"/>
    <m/>
    <m/>
    <m/>
    <s v="yes"/>
    <s v="Svetozar Galik"/>
    <s v="yes"/>
    <m/>
    <m/>
    <s v="yes"/>
    <m/>
    <m/>
    <m/>
  </r>
  <r>
    <s v="Ops Security Portal2.0"/>
    <x v="2"/>
    <s v="Jan Truksa"/>
    <x v="1"/>
    <x v="2"/>
    <x v="3"/>
    <m/>
    <m/>
    <m/>
    <m/>
    <m/>
    <m/>
    <m/>
    <m/>
    <m/>
    <m/>
    <m/>
    <m/>
    <m/>
    <m/>
    <m/>
    <m/>
    <m/>
    <m/>
  </r>
  <r>
    <s v="Automated Deployment v1"/>
    <x v="2"/>
    <s v="Jan Truksa"/>
    <x v="1"/>
    <x v="2"/>
    <x v="3"/>
    <s v="yes "/>
    <d v="2026-02-20T00:00:00"/>
    <s v="yes "/>
    <s v="yes "/>
    <s v="PJ20250006"/>
    <s v="Ongoing"/>
    <m/>
    <m/>
    <m/>
    <s v="yes"/>
    <s v="Svetozar Galik"/>
    <m/>
    <m/>
    <s v="yes"/>
    <m/>
    <s v="yes"/>
    <s v="yes"/>
    <m/>
  </r>
  <r>
    <s v="EXP EU Ws2016 OS R. - Server Refresh"/>
    <x v="2"/>
    <s v="Jana Veberova"/>
    <x v="0"/>
    <x v="1"/>
    <x v="1"/>
    <s v="yes "/>
    <d v="2026-02-20T00:00:00"/>
    <s v="yes "/>
    <s v="yes "/>
    <s v="PJ20252692 "/>
    <s v="Ongoing"/>
    <m/>
    <m/>
    <m/>
    <s v="yes"/>
    <s v="Marco Balestra"/>
    <m/>
    <m/>
    <s v="yes"/>
    <m/>
    <s v="yes"/>
    <m/>
    <s v="yes"/>
  </r>
  <r>
    <s v="DSC DE - RIM Blue."/>
    <x v="2"/>
    <s v="Jana Veberova"/>
    <x v="0"/>
    <x v="0"/>
    <x v="0"/>
    <s v="yes "/>
    <m/>
    <s v="yes "/>
    <s v="yes "/>
    <s v="PJ20251673 "/>
    <s v="Ongoing"/>
    <m/>
    <m/>
    <m/>
    <s v="yes"/>
    <s v="Sammy Abu Shab"/>
    <m/>
    <m/>
    <m/>
    <m/>
    <m/>
    <m/>
    <m/>
  </r>
  <r>
    <s v="EXP-AP-SATS-B-PM Resource 2026"/>
    <x v="2"/>
    <s v="Katerina Soukupova"/>
    <x v="0"/>
    <x v="1"/>
    <x v="1"/>
    <s v="RACI uploaded"/>
    <d v="2026-03-23T00:00:00"/>
    <s v="not required"/>
    <s v="yes "/>
    <s v="not required"/>
    <s v="not required"/>
    <m/>
    <m/>
    <m/>
    <m/>
    <m/>
    <m/>
    <m/>
    <m/>
    <m/>
    <m/>
    <m/>
    <m/>
  </r>
  <r>
    <s v="Antimalware GW"/>
    <x v="2"/>
    <s v="Kristina Fojtkova"/>
    <x v="1"/>
    <x v="2"/>
    <x v="1"/>
    <s v="yes "/>
    <m/>
    <m/>
    <m/>
    <s v="PJ20261150"/>
    <m/>
    <m/>
    <m/>
    <m/>
    <s v="yes"/>
    <s v="Youssef Choueiry"/>
    <s v="yes"/>
    <m/>
    <m/>
    <m/>
    <m/>
    <m/>
    <m/>
  </r>
  <r>
    <s v="PP R PostIdent Analysis 2025"/>
    <x v="2"/>
    <s v="Kristina Fojtkova"/>
    <x v="0"/>
    <x v="5"/>
    <x v="0"/>
    <s v="not required"/>
    <m/>
    <s v="not required"/>
    <s v="yes "/>
    <m/>
    <s v="not required"/>
    <m/>
    <s v="not required"/>
    <m/>
    <s v="yes"/>
    <m/>
    <m/>
    <m/>
    <m/>
    <m/>
    <m/>
    <m/>
    <m/>
  </r>
  <r>
    <s v="ITS resilient operations"/>
    <x v="2"/>
    <s v="Ivan Godunov"/>
    <x v="1"/>
    <x v="2"/>
    <x v="1"/>
    <m/>
    <m/>
    <m/>
    <m/>
    <m/>
    <m/>
    <m/>
    <m/>
    <m/>
    <m/>
    <s v="Luc Le Lievre"/>
    <m/>
    <m/>
    <m/>
    <m/>
    <m/>
    <m/>
    <m/>
  </r>
  <r>
    <s v="DGFF WS2016 - Discovery &amp; Design "/>
    <x v="2"/>
    <s v="Michel de Heij"/>
    <x v="0"/>
    <x v="4"/>
    <x v="1"/>
    <m/>
    <m/>
    <m/>
    <m/>
    <m/>
    <m/>
    <m/>
    <m/>
    <m/>
    <s v="yes"/>
    <s v="Barbora Vesela"/>
    <m/>
    <m/>
    <m/>
    <m/>
    <m/>
    <m/>
    <m/>
  </r>
  <r>
    <s v="Data Security Platform"/>
    <x v="2"/>
    <s v="Neeraja Duddu"/>
    <x v="1"/>
    <x v="2"/>
    <x v="1"/>
    <s v="yes "/>
    <n v="2025"/>
    <s v="yes "/>
    <s v="yes "/>
    <s v="PJ20251532"/>
    <s v="Ongoing"/>
    <m/>
    <m/>
    <m/>
    <s v="yes"/>
    <s v="Youssef Choueiry"/>
    <m/>
    <m/>
    <m/>
    <s v="yes"/>
    <m/>
    <m/>
    <m/>
  </r>
  <r>
    <s v="Secret Management"/>
    <x v="2"/>
    <s v="Neeraja Duddu"/>
    <x v="1"/>
    <x v="2"/>
    <x v="2"/>
    <m/>
    <m/>
    <m/>
    <m/>
    <m/>
    <m/>
    <m/>
    <m/>
    <m/>
    <s v="yes"/>
    <s v="Youssef Choueiry"/>
    <m/>
    <m/>
    <m/>
    <m/>
    <m/>
    <m/>
    <m/>
  </r>
  <r>
    <s v="DPAM Run"/>
    <x v="2"/>
    <s v="Neeraja Duddu"/>
    <x v="1"/>
    <x v="2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DSC Project coordination"/>
    <x v="2"/>
    <s v="Sona Rackova"/>
    <x v="0"/>
    <x v="0"/>
    <x v="2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DeC GHO EVRi IT"/>
    <x v="2"/>
    <s v="Zlata Benesova"/>
    <x v="0"/>
    <x v="6"/>
    <x v="1"/>
    <s v="In Progress"/>
    <d v="2026-04-17T00:00:00"/>
    <s v="yes "/>
    <s v="yes "/>
    <s v="PJ20251788"/>
    <s v="yes "/>
    <m/>
    <m/>
    <m/>
    <s v="yes"/>
    <s v="Martin Fojtek"/>
    <m/>
    <m/>
    <s v="yes"/>
    <m/>
    <m/>
    <s v="yes"/>
    <m/>
  </r>
  <r>
    <s v="DSC NORAM - SOC Support 2026"/>
    <x v="2"/>
    <s v="Sona Rackova"/>
    <x v="0"/>
    <x v="0"/>
    <x v="2"/>
    <s v="not required"/>
    <m/>
    <s v="not required"/>
    <s v="yes "/>
    <s v="not required"/>
    <s v="not required"/>
    <m/>
    <s v="not required"/>
    <m/>
    <m/>
    <m/>
    <m/>
    <m/>
    <m/>
    <m/>
    <m/>
    <m/>
    <m/>
  </r>
  <r>
    <s v="DeC GHO TR TR IBM API Gateway Analysis"/>
    <x v="2"/>
    <s v="Sona Rackova"/>
    <x v="0"/>
    <x v="6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VMWARE ADMIN"/>
    <x v="2"/>
    <s v="Yu Mon Htay"/>
    <x v="1"/>
    <x v="2"/>
    <x v="1"/>
    <s v="yes "/>
    <d v="2026-03-09T00:00:00"/>
    <m/>
    <m/>
    <m/>
    <m/>
    <m/>
    <m/>
    <m/>
    <s v="yes"/>
    <m/>
    <m/>
    <m/>
    <m/>
    <m/>
    <m/>
    <m/>
    <m/>
  </r>
  <r>
    <s v="IPv6 - IS part"/>
    <x v="2"/>
    <s v="Zlata Benesova"/>
    <x v="1"/>
    <x v="2"/>
    <x v="4"/>
    <s v="yes "/>
    <m/>
    <s v="yes "/>
    <s v="yes "/>
    <s v="yes "/>
    <s v="yes "/>
    <m/>
    <m/>
    <m/>
    <m/>
    <m/>
    <m/>
    <m/>
    <m/>
    <m/>
    <m/>
    <m/>
    <m/>
  </r>
  <r>
    <s v="LAN CONNECTIVITY"/>
    <x v="3"/>
    <s v="Alina Nosulych"/>
    <x v="1"/>
    <x v="2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F5 Refresh"/>
    <x v="3"/>
    <s v="Alina Nosulych"/>
    <x v="1"/>
    <x v="2"/>
    <x v="1"/>
    <s v="In Progress"/>
    <m/>
    <s v="In Progress"/>
    <s v="yes "/>
    <m/>
    <m/>
    <m/>
    <m/>
    <m/>
    <m/>
    <m/>
    <m/>
    <m/>
    <m/>
    <m/>
    <m/>
    <m/>
    <m/>
  </r>
  <r>
    <s v="Central FAX migration to eFAX solution"/>
    <x v="3"/>
    <s v="Alina Nosulych"/>
    <x v="1"/>
    <x v="3"/>
    <x v="1"/>
    <s v="yes "/>
    <m/>
    <s v="yes "/>
    <s v="not required"/>
    <m/>
    <m/>
    <m/>
    <m/>
    <m/>
    <m/>
    <m/>
    <m/>
    <m/>
    <m/>
    <m/>
    <m/>
    <m/>
    <m/>
  </r>
  <r>
    <s v="Presales - EXP Central Management"/>
    <x v="3"/>
    <s v="Alina Nosulych"/>
    <x v="1"/>
    <x v="1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Presales - EXP Central Management"/>
    <x v="3"/>
    <s v="Alina Nosulych"/>
    <x v="1"/>
    <x v="1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Cookies management"/>
    <x v="3"/>
    <s v="Andrea Stratilova"/>
    <x v="1"/>
    <x v="3"/>
    <x v="1"/>
    <m/>
    <m/>
    <m/>
    <m/>
    <m/>
    <m/>
    <m/>
    <m/>
    <m/>
    <m/>
    <m/>
    <m/>
    <m/>
    <m/>
    <m/>
    <m/>
    <m/>
    <m/>
  </r>
  <r>
    <s v="Demand Management (Whitelisting for ZPA and Cloud Proxy Service)"/>
    <x v="3"/>
    <s v="Andrea Stratilova"/>
    <x v="1"/>
    <x v="2"/>
    <x v="1"/>
    <m/>
    <m/>
    <m/>
    <s v="not required"/>
    <m/>
    <m/>
    <m/>
    <m/>
    <m/>
    <m/>
    <m/>
    <m/>
    <m/>
    <m/>
    <m/>
    <m/>
    <m/>
    <m/>
  </r>
  <r>
    <s v="NGFW Proposals (DSC, ….)"/>
    <x v="3"/>
    <s v="Andrea Stratilova"/>
    <x v="1"/>
    <x v="3"/>
    <x v="1"/>
    <s v="not required"/>
    <m/>
    <s v="not required"/>
    <s v="not required"/>
    <s v="not required"/>
    <s v="not required"/>
    <m/>
    <s v="not required"/>
    <m/>
    <m/>
    <m/>
    <m/>
    <m/>
    <m/>
    <m/>
    <m/>
    <m/>
    <m/>
  </r>
  <r>
    <s v="DNS and Domain Management Transformation"/>
    <x v="3"/>
    <s v="Dilyara Zeletdinova"/>
    <x v="1"/>
    <x v="3"/>
    <x v="1"/>
    <m/>
    <m/>
    <m/>
    <m/>
    <m/>
    <m/>
    <m/>
    <m/>
    <m/>
    <m/>
    <m/>
    <s v="yes"/>
    <m/>
    <m/>
    <m/>
    <m/>
    <m/>
    <m/>
  </r>
  <r>
    <s v="Secure Access Portal Process and Architecture Modernization (ELM)"/>
    <x v="3"/>
    <s v="Dilyara Zeletdinova"/>
    <x v="1"/>
    <x v="2"/>
    <x v="2"/>
    <m/>
    <m/>
    <m/>
    <m/>
    <m/>
    <m/>
    <m/>
    <m/>
    <m/>
    <m/>
    <m/>
    <m/>
    <m/>
    <m/>
    <m/>
    <m/>
    <m/>
    <m/>
  </r>
  <r>
    <s v="Strengthen Deficiency (Consequence) Management for ELM - Phase II. "/>
    <x v="3"/>
    <s v="Dilyara Zeletdinova"/>
    <x v="1"/>
    <x v="2"/>
    <x v="2"/>
    <m/>
    <m/>
    <m/>
    <m/>
    <m/>
    <m/>
    <m/>
    <m/>
    <m/>
    <m/>
    <m/>
    <m/>
    <m/>
    <m/>
    <m/>
    <m/>
    <m/>
    <m/>
  </r>
  <r>
    <s v="ExpGB-17047-SECMCO 2025 35 sites V1"/>
    <x v="3"/>
    <s v="Jan Cesnek"/>
    <x v="0"/>
    <x v="1"/>
    <x v="0"/>
    <m/>
    <m/>
    <m/>
    <m/>
    <m/>
    <m/>
    <m/>
    <m/>
    <m/>
    <m/>
    <m/>
    <m/>
    <m/>
    <m/>
    <m/>
    <m/>
    <m/>
    <m/>
  </r>
  <r>
    <s v="New NGFW requests"/>
    <x v="3"/>
    <s v="Jan Cesnek"/>
    <x v="0"/>
    <x v="3"/>
    <x v="1"/>
    <m/>
    <m/>
    <m/>
    <m/>
    <m/>
    <m/>
    <m/>
    <m/>
    <m/>
    <m/>
    <m/>
    <m/>
    <m/>
    <m/>
    <m/>
    <m/>
    <m/>
    <m/>
  </r>
  <r>
    <s v="DSCUS NGFW &amp; Secure Access 2 Engineers"/>
    <x v="3"/>
    <s v="Jan Cesnek"/>
    <x v="0"/>
    <x v="0"/>
    <x v="1"/>
    <s v="not required"/>
    <m/>
    <s v="not required"/>
    <s v="not required"/>
    <s v="No"/>
    <s v="not required"/>
    <m/>
    <s v="not required"/>
    <m/>
    <m/>
    <m/>
    <m/>
    <m/>
    <m/>
    <m/>
    <m/>
    <m/>
    <m/>
  </r>
  <r>
    <s v="Netflow solution review - PoC"/>
    <x v="3"/>
    <s v="Jan Ondrak"/>
    <x v="1"/>
    <x v="2"/>
    <x v="1"/>
    <m/>
    <m/>
    <m/>
    <m/>
    <m/>
    <m/>
    <m/>
    <m/>
    <m/>
    <m/>
    <m/>
    <m/>
    <m/>
    <m/>
    <m/>
    <m/>
    <m/>
    <m/>
  </r>
  <r>
    <s v="PTV Sites phase 2"/>
    <x v="3"/>
    <s v="Jan Ondrak"/>
    <x v="1"/>
    <x v="2"/>
    <x v="0"/>
    <s v="yes "/>
    <m/>
    <s v="yes "/>
    <s v="not required"/>
    <m/>
    <s v="yes "/>
    <m/>
    <s v="yes "/>
    <m/>
    <m/>
    <m/>
    <m/>
    <m/>
    <m/>
    <m/>
    <m/>
    <m/>
    <m/>
  </r>
  <r>
    <s v="Site Connectivity (Core Network connections - ITS 2 location in IN, DSC AU, BLueDart DeC IN)"/>
    <x v="3"/>
    <s v="Jan Ondrak"/>
    <x v="1"/>
    <x v="3"/>
    <x v="1"/>
    <m/>
    <m/>
    <m/>
    <m/>
    <m/>
    <m/>
    <m/>
    <m/>
    <m/>
    <m/>
    <m/>
    <m/>
    <m/>
    <m/>
    <m/>
    <m/>
    <m/>
    <m/>
  </r>
  <r>
    <s v="Global ITS Meraki Service"/>
    <x v="3"/>
    <s v="Jan Ondrak"/>
    <x v="1"/>
    <x v="3"/>
    <x v="1"/>
    <s v="yes "/>
    <m/>
    <s v="yes "/>
    <m/>
    <m/>
    <s v="yes "/>
    <m/>
    <s v="yes "/>
    <m/>
    <m/>
    <m/>
    <m/>
    <m/>
    <m/>
    <m/>
    <m/>
    <m/>
    <m/>
  </r>
  <r>
    <s v="ADaM 2.0 GCISO"/>
    <x v="3"/>
    <s v="Jaroslav Kral"/>
    <x v="1"/>
    <x v="3"/>
    <x v="1"/>
    <m/>
    <m/>
    <m/>
    <s v="yes "/>
    <m/>
    <m/>
    <m/>
    <m/>
    <m/>
    <m/>
    <m/>
    <m/>
    <m/>
    <m/>
    <m/>
    <m/>
    <m/>
    <m/>
  </r>
  <r>
    <s v="S/MIME certificates transition"/>
    <x v="3"/>
    <s v="Kirill Shabalkin"/>
    <x v="1"/>
    <x v="2"/>
    <x v="0"/>
    <s v="not required"/>
    <m/>
    <s v="not required"/>
    <s v="not required"/>
    <m/>
    <m/>
    <m/>
    <m/>
    <m/>
    <m/>
    <m/>
    <m/>
    <m/>
    <m/>
    <m/>
    <m/>
    <m/>
    <m/>
  </r>
  <r>
    <s v="SecMCO Lite Deployment (154 additional EXP sites)"/>
    <x v="3"/>
    <s v="Kirill Shabalkin"/>
    <x v="1"/>
    <x v="2"/>
    <x v="3"/>
    <s v="yes "/>
    <m/>
    <s v="yes "/>
    <m/>
    <m/>
    <m/>
    <m/>
    <m/>
    <m/>
    <m/>
    <m/>
    <m/>
    <m/>
    <m/>
    <m/>
    <m/>
    <m/>
    <m/>
  </r>
  <r>
    <s v="SecMCOv1 to SecMCOv3 Transformation of Premium Hubs"/>
    <x v="3"/>
    <s v="Kirill Shabalkin"/>
    <x v="1"/>
    <x v="2"/>
    <x v="1"/>
    <s v="not required"/>
    <m/>
    <s v="not required"/>
    <s v="not required"/>
    <m/>
    <m/>
    <m/>
    <m/>
    <m/>
    <m/>
    <m/>
    <m/>
    <m/>
    <m/>
    <m/>
    <m/>
    <m/>
    <m/>
  </r>
  <r>
    <s v="OT security (Infosec driven, subject to PG1, approval through ITAM WG)"/>
    <x v="3"/>
    <s v="Kirill Shabalkin"/>
    <x v="1"/>
    <x v="3"/>
    <x v="1"/>
    <s v="yes "/>
    <m/>
    <s v="yes "/>
    <s v="yes "/>
    <m/>
    <m/>
    <m/>
    <m/>
    <m/>
    <m/>
    <m/>
    <m/>
    <m/>
    <m/>
    <m/>
    <m/>
    <m/>
    <m/>
  </r>
  <r>
    <s v="Unified DDoS (CDC Service Enhancement)"/>
    <x v="3"/>
    <s v="Ludek Houska"/>
    <x v="1"/>
    <x v="2"/>
    <x v="1"/>
    <m/>
    <m/>
    <m/>
    <m/>
    <m/>
    <m/>
    <m/>
    <m/>
    <m/>
    <m/>
    <m/>
    <m/>
    <m/>
    <m/>
    <m/>
    <m/>
    <m/>
    <m/>
  </r>
  <r>
    <s v="Dec IB Celia Network Design Changes"/>
    <x v="3"/>
    <s v="Ludek Houska"/>
    <x v="0"/>
    <x v="6"/>
    <x v="1"/>
    <m/>
    <m/>
    <m/>
    <m/>
    <m/>
    <m/>
    <m/>
    <m/>
    <m/>
    <m/>
    <m/>
    <m/>
    <m/>
    <m/>
    <m/>
    <m/>
    <m/>
    <m/>
  </r>
  <r>
    <s v="IPv6 Telecoms 2026 "/>
    <x v="3"/>
    <s v="Jaroslav Kral"/>
    <x v="1"/>
    <x v="2"/>
    <x v="1"/>
    <m/>
    <m/>
    <m/>
    <m/>
    <m/>
    <m/>
    <m/>
    <m/>
    <m/>
    <m/>
    <m/>
    <s v="yes"/>
    <m/>
    <m/>
    <m/>
    <m/>
    <m/>
    <m/>
  </r>
  <r>
    <s v="Telecom Patching grid"/>
    <x v="3"/>
    <s v="Rene Zamecnik"/>
    <x v="1"/>
    <x v="2"/>
    <x v="1"/>
    <s v="yes "/>
    <m/>
    <s v="yes "/>
    <s v="yes "/>
    <s v="yes"/>
    <m/>
    <m/>
    <m/>
    <m/>
    <m/>
    <m/>
    <m/>
    <m/>
    <m/>
    <m/>
    <m/>
    <m/>
    <m/>
  </r>
  <r>
    <s v="Zscaler Cloud Proxy for Blue collar workers"/>
    <x v="3"/>
    <s v="Zied Erebai"/>
    <x v="1"/>
    <x v="2"/>
    <x v="2"/>
    <s v="yes "/>
    <m/>
    <s v="yes "/>
    <s v="not required"/>
    <m/>
    <m/>
    <m/>
    <m/>
    <m/>
    <m/>
    <m/>
    <m/>
    <m/>
    <m/>
    <m/>
    <m/>
    <m/>
    <m/>
  </r>
  <r>
    <s v="Internet capacity management​ (Zscaler BW control) "/>
    <x v="3"/>
    <s v="Zied Erebai"/>
    <x v="1"/>
    <x v="2"/>
    <x v="2"/>
    <s v="yes "/>
    <m/>
    <s v="yes "/>
    <s v="not required"/>
    <m/>
    <m/>
    <m/>
    <m/>
    <m/>
    <m/>
    <m/>
    <m/>
    <m/>
    <m/>
    <m/>
    <m/>
    <m/>
    <m/>
  </r>
  <r>
    <s v="ZPA 3rd Party Access"/>
    <x v="3"/>
    <s v="Zied Erebai"/>
    <x v="1"/>
    <x v="2"/>
    <x v="2"/>
    <m/>
    <m/>
    <m/>
    <s v="not required"/>
    <m/>
    <m/>
    <m/>
    <m/>
    <m/>
    <m/>
    <m/>
    <m/>
    <m/>
    <m/>
    <m/>
    <m/>
    <m/>
    <m/>
  </r>
  <r>
    <s v="Zscaler NSS log servers"/>
    <x v="3"/>
    <s v="Zied Erebai"/>
    <x v="1"/>
    <x v="2"/>
    <x v="2"/>
    <m/>
    <m/>
    <m/>
    <s v="not required"/>
    <m/>
    <m/>
    <m/>
    <m/>
    <m/>
    <m/>
    <m/>
    <m/>
    <m/>
    <m/>
    <m/>
    <m/>
    <m/>
    <m/>
  </r>
  <r>
    <s v="Zscaler PAC file lifecycle full automation in Secure Access (ELM)"/>
    <x v="3"/>
    <s v="Zied Erebai"/>
    <x v="1"/>
    <x v="2"/>
    <x v="2"/>
    <m/>
    <m/>
    <m/>
    <s v="not required"/>
    <m/>
    <m/>
    <m/>
    <m/>
    <m/>
    <m/>
    <m/>
    <m/>
    <m/>
    <m/>
    <m/>
    <m/>
    <m/>
    <m/>
  </r>
  <r>
    <s v="2026 Interim GCISO"/>
    <x v="3"/>
    <s v="Zied Erebai"/>
    <x v="1"/>
    <x v="2"/>
    <x v="2"/>
    <s v="yes "/>
    <m/>
    <s v="yes "/>
    <m/>
    <m/>
    <m/>
    <m/>
    <m/>
    <m/>
    <m/>
    <m/>
    <m/>
    <m/>
    <m/>
    <m/>
    <m/>
    <m/>
    <m/>
  </r>
  <r>
    <s v="Zscaler - ZDX rollout to Bus"/>
    <x v="3"/>
    <s v="Zied Erebai"/>
    <x v="1"/>
    <x v="2"/>
    <x v="2"/>
    <m/>
    <m/>
    <m/>
    <s v="not required"/>
    <m/>
    <m/>
    <m/>
    <m/>
    <m/>
    <m/>
    <m/>
    <m/>
    <m/>
    <m/>
    <m/>
    <m/>
    <m/>
    <m/>
  </r>
  <r>
    <s v="DGFF-AP-DGF-HK-RIM-HOSTING Tradelink 202"/>
    <x v="1"/>
    <s v="Saranyah Vairavan"/>
    <x v="0"/>
    <x v="4"/>
    <x v="1"/>
    <m/>
    <m/>
    <m/>
    <m/>
    <s v="PJ20252762"/>
    <m/>
    <m/>
    <m/>
    <m/>
    <s v="yes"/>
    <m/>
    <m/>
    <m/>
    <m/>
    <m/>
    <m/>
    <m/>
    <m/>
  </r>
  <r>
    <s v="EXP AP Ws2016 OS Refresh - Discovery &amp; Design"/>
    <x v="1"/>
    <s v="Lisette Fincke"/>
    <x v="0"/>
    <x v="1"/>
    <x v="2"/>
    <m/>
    <m/>
    <m/>
    <m/>
    <m/>
    <m/>
    <m/>
    <m/>
    <m/>
    <s v="yes"/>
    <m/>
    <m/>
    <m/>
    <m/>
    <m/>
    <m/>
    <m/>
    <m/>
  </r>
  <r>
    <s v="DSCUS FSMS Migration to W2025"/>
    <x v="0"/>
    <s v="Dayanna Abarca"/>
    <x v="0"/>
    <x v="0"/>
    <x v="1"/>
    <s v="yes "/>
    <d v="2026-05-12T00:00:00"/>
    <m/>
    <s v="yes "/>
    <m/>
    <m/>
    <m/>
    <m/>
    <m/>
    <m/>
    <m/>
    <m/>
    <m/>
    <m/>
    <m/>
    <m/>
    <m/>
    <m/>
  </r>
  <r>
    <s v="DeC Iberia Celia Transition"/>
    <x v="3"/>
    <s v="Zdenek Novotny"/>
    <x v="0"/>
    <x v="6"/>
    <x v="2"/>
    <m/>
    <m/>
    <m/>
    <m/>
    <m/>
    <m/>
    <m/>
    <m/>
    <m/>
    <m/>
    <m/>
    <m/>
    <m/>
    <m/>
    <m/>
    <m/>
    <m/>
    <m/>
  </r>
  <r>
    <s v="DeC GHO MNG Kargo Connection to Shape+"/>
    <x v="3"/>
    <s v="Zdenek Novotny"/>
    <x v="0"/>
    <x v="6"/>
    <x v="2"/>
    <m/>
    <m/>
    <m/>
    <m/>
    <m/>
    <m/>
    <m/>
    <m/>
    <m/>
    <m/>
    <m/>
    <m/>
    <m/>
    <m/>
    <m/>
    <m/>
    <m/>
    <m/>
  </r>
  <r>
    <s v="ExpGB-17172-NGFW Dedicated Resources"/>
    <x v="3"/>
    <s v="Jan Cesnek"/>
    <x v="0"/>
    <x v="1"/>
    <x v="2"/>
    <m/>
    <m/>
    <m/>
    <m/>
    <m/>
    <m/>
    <m/>
    <m/>
    <m/>
    <m/>
    <m/>
    <m/>
    <m/>
    <m/>
    <m/>
    <m/>
    <m/>
    <m/>
  </r>
  <r>
    <s v="DSC-IPv6-Migration Approach &amp; Certification ITS Support"/>
    <x v="3"/>
    <s v="Rene Zamecnik"/>
    <x v="0"/>
    <x v="0"/>
    <x v="2"/>
    <m/>
    <m/>
    <m/>
    <m/>
    <m/>
    <m/>
    <m/>
    <m/>
    <m/>
    <m/>
    <m/>
    <m/>
    <m/>
    <m/>
    <m/>
    <m/>
    <m/>
    <m/>
  </r>
  <r>
    <s v="DSC-GSL-B-SeLECT-ITPM SLDP 2026"/>
    <x v="1"/>
    <s v="Lisette Fincke"/>
    <x v="0"/>
    <x v="0"/>
    <x v="2"/>
    <m/>
    <m/>
    <m/>
    <m/>
    <m/>
    <m/>
    <m/>
    <m/>
    <m/>
    <m/>
    <m/>
    <m/>
    <m/>
    <m/>
    <m/>
    <m/>
    <m/>
    <m/>
  </r>
  <r>
    <s v="DeC AM Datadog Implementation ITS Project"/>
    <x v="0"/>
    <s v="Dayanna Abarca"/>
    <x v="0"/>
    <x v="6"/>
    <x v="2"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x v="0"/>
    <s v="Others"/>
    <x v="0"/>
    <s v="Alina Nosulych"/>
    <x v="0"/>
    <s v="BARN Security Enforcement "/>
    <x v="0"/>
    <n v="89100298"/>
    <m/>
    <n v="0"/>
    <x v="0"/>
    <x v="0"/>
    <m/>
    <m/>
    <m/>
    <n v="0.2"/>
    <n v="0.2"/>
    <n v="0.2"/>
    <m/>
    <m/>
    <m/>
    <m/>
    <m/>
    <m/>
    <s v="Yes"/>
  </r>
  <r>
    <x v="0"/>
    <s v="Telecoms"/>
    <x v="0"/>
    <s v="Alina Nosulych"/>
    <x v="0"/>
    <s v="F5 Refresh"/>
    <x v="0"/>
    <s v=" 87101386"/>
    <m/>
    <n v="0"/>
    <x v="0"/>
    <x v="0"/>
    <n v="0.4"/>
    <n v="0.4"/>
    <n v="0.4"/>
    <n v="0.4"/>
    <n v="0.4"/>
    <n v="0.4"/>
    <n v="0.4"/>
    <n v="0.4"/>
    <n v="0.4"/>
    <n v="0.4"/>
    <n v="0.4"/>
    <m/>
    <s v="Yes"/>
  </r>
  <r>
    <x v="0"/>
    <s v="Telecoms"/>
    <x v="0"/>
    <s v="Alina Nosulych"/>
    <x v="0"/>
    <s v="ACI Upgrade - global activitiy (BARN related)"/>
    <x v="0"/>
    <n v="89100298"/>
    <m/>
    <n v="0"/>
    <x v="1"/>
    <x v="0"/>
    <m/>
    <n v="0.2"/>
    <n v="0.2"/>
    <n v="0.2"/>
    <m/>
    <m/>
    <m/>
    <m/>
    <m/>
    <m/>
    <m/>
    <m/>
    <s v="Yes"/>
  </r>
  <r>
    <x v="0"/>
    <s v="Telecoms"/>
    <x v="0"/>
    <s v="Alina Nosulych"/>
    <x v="0"/>
    <s v="Central FAX migration to eFAX solution"/>
    <x v="0"/>
    <n v="89100536"/>
    <m/>
    <n v="0"/>
    <x v="1"/>
    <x v="0"/>
    <n v="0.2"/>
    <n v="0.2"/>
    <n v="0.2"/>
    <n v="0.2"/>
    <m/>
    <m/>
    <m/>
    <m/>
    <m/>
    <m/>
    <m/>
    <m/>
    <s v="Yes"/>
  </r>
  <r>
    <x v="0"/>
    <s v="Telecoms"/>
    <x v="0"/>
    <s v="Alina Nosulych"/>
    <x v="0"/>
    <s v="NGFW Proposals EXP"/>
    <x v="0"/>
    <n v="88100313"/>
    <m/>
    <n v="0"/>
    <x v="0"/>
    <x v="0"/>
    <n v="0.05"/>
    <n v="0.05"/>
    <n v="0.05"/>
    <n v="0.05"/>
    <n v="0.05"/>
    <n v="0.05"/>
    <n v="0.05"/>
    <n v="0.05"/>
    <n v="0.05"/>
    <n v="0.05"/>
    <n v="0.05"/>
    <m/>
    <s v="Yes"/>
  </r>
  <r>
    <x v="0"/>
    <s v="Telecoms"/>
    <x v="0"/>
    <s v="Andrea Stratilova"/>
    <x v="1"/>
    <s v="Cookies and consent ​management transformation​"/>
    <x v="0"/>
    <n v="89101258"/>
    <m/>
    <n v="294645"/>
    <x v="0"/>
    <x v="0"/>
    <n v="0.3"/>
    <n v="0.3"/>
    <n v="0.3"/>
    <n v="0.3"/>
    <n v="0.3"/>
    <n v="0.3"/>
    <n v="0.3"/>
    <n v="0.3"/>
    <n v="0.3"/>
    <n v="0.3"/>
    <n v="0.3"/>
    <n v="0.3"/>
    <s v="Yes"/>
  </r>
  <r>
    <x v="0"/>
    <s v="Telecoms"/>
    <x v="0"/>
    <s v="Andrea Stratilova"/>
    <x v="1"/>
    <s v="Demand Management (Whitelisting for ZPA and Cloud Proxy Service)"/>
    <x v="0"/>
    <s v="89100787, 89100999"/>
    <m/>
    <n v="0"/>
    <x v="0"/>
    <x v="0"/>
    <n v="0.05"/>
    <n v="0.05"/>
    <n v="0.05"/>
    <n v="0.05"/>
    <n v="0.05"/>
    <n v="0.05"/>
    <n v="0.05"/>
    <n v="0.05"/>
    <n v="0.05"/>
    <n v="0.05"/>
    <n v="0.05"/>
    <n v="0.05"/>
    <s v="Yes"/>
  </r>
  <r>
    <x v="1"/>
    <s v="SEF"/>
    <x v="0"/>
    <s v="Daniel Lai"/>
    <x v="1"/>
    <s v="Private Cloud 2.0 - Phase 2"/>
    <x v="0"/>
    <n v="87002033"/>
    <m/>
    <n v="1420000"/>
    <x v="0"/>
    <x v="0"/>
    <n v="0.1"/>
    <n v="0.1"/>
    <n v="0.1"/>
    <n v="0.1"/>
    <n v="0.1"/>
    <n v="0.1"/>
    <n v="0.1"/>
    <n v="0.1"/>
    <m/>
    <m/>
    <m/>
    <m/>
    <s v="Yes"/>
  </r>
  <r>
    <x v="0"/>
    <s v="Telecoms"/>
    <x v="0"/>
    <s v="Andrea Stratilova"/>
    <x v="1"/>
    <s v="NGFW Proposals (DSC, ….)"/>
    <x v="0"/>
    <s v="88100294, 88100275, 89100826, 89101130"/>
    <m/>
    <n v="0"/>
    <x v="0"/>
    <x v="0"/>
    <n v="0.02"/>
    <n v="0.02"/>
    <n v="0.02"/>
    <n v="0.02"/>
    <n v="0.02"/>
    <n v="0.02"/>
    <n v="0.02"/>
    <n v="0.02"/>
    <n v="0.02"/>
    <n v="0.02"/>
    <n v="0.02"/>
    <m/>
    <s v="Yes"/>
  </r>
  <r>
    <x v="1"/>
    <s v="SEF"/>
    <x v="1"/>
    <s v="Daniel Lai"/>
    <x v="2"/>
    <s v="Private Cloud 2.0 - Phase 1"/>
    <x v="0"/>
    <n v="87101375"/>
    <m/>
    <n v="533000"/>
    <x v="1"/>
    <x v="0"/>
    <n v="0.25"/>
    <n v="0.25"/>
    <n v="0.25"/>
    <m/>
    <m/>
    <m/>
    <m/>
    <m/>
    <m/>
    <m/>
    <m/>
    <m/>
    <s v="Yes"/>
  </r>
  <r>
    <x v="1"/>
    <s v="SEF"/>
    <x v="1"/>
    <s v="Daniel Lai"/>
    <x v="2"/>
    <s v="Private Cloud 2.0 - Phase 2"/>
    <x v="0"/>
    <n v="87002033"/>
    <m/>
    <n v="1420000"/>
    <x v="0"/>
    <x v="0"/>
    <n v="0.5"/>
    <n v="0.5"/>
    <n v="0.5"/>
    <n v="0.5"/>
    <n v="0.5"/>
    <n v="0.5"/>
    <n v="0.5"/>
    <n v="0.5"/>
    <n v="0.5"/>
    <n v="0.5"/>
    <n v="0.5"/>
    <n v="0.5"/>
    <s v="Yes"/>
  </r>
  <r>
    <x v="0"/>
    <s v="SEF"/>
    <x v="0"/>
    <s v="Dilyara Zeletdinova"/>
    <x v="3"/>
    <s v="DNS and Domain management transformation"/>
    <x v="0"/>
    <n v="87101423"/>
    <m/>
    <n v="1002000"/>
    <x v="0"/>
    <x v="0"/>
    <n v="0.2"/>
    <n v="0.5"/>
    <n v="0.5"/>
    <n v="0.5"/>
    <n v="0.5"/>
    <n v="0.5"/>
    <n v="0.5"/>
    <n v="0.5"/>
    <n v="0.5"/>
    <n v="0.5"/>
    <n v="0.5"/>
    <n v="0.5"/>
    <s v="Yes"/>
  </r>
  <r>
    <x v="0"/>
    <s v="Telecoms"/>
    <x v="0"/>
    <s v="Dilyara Zeletdinova"/>
    <x v="3"/>
    <s v="Secure Access Portal Process and Architecture Modernization (ELM)"/>
    <x v="0"/>
    <n v="0"/>
    <m/>
    <n v="0"/>
    <x v="2"/>
    <x v="1"/>
    <n v="0.25"/>
    <n v="0.25"/>
    <n v="0.25"/>
    <n v="0.25"/>
    <n v="0.25"/>
    <n v="0.25"/>
    <n v="0.25"/>
    <n v="0.25"/>
    <n v="0.25"/>
    <n v="0.25"/>
    <n v="0.25"/>
    <n v="0.25"/>
    <s v="Yes"/>
  </r>
  <r>
    <x v="0"/>
    <s v="Telecoms"/>
    <x v="0"/>
    <s v="Dilyara Zeletdinova"/>
    <x v="3"/>
    <s v="Strengthen Deficiency (Consequence) Management for ELM - Phase II. "/>
    <x v="0"/>
    <n v="0"/>
    <m/>
    <n v="0"/>
    <x v="0"/>
    <x v="1"/>
    <n v="0.25"/>
    <n v="0.25"/>
    <n v="0.25"/>
    <n v="0.25"/>
    <n v="0.25"/>
    <n v="0.25"/>
    <n v="0.25"/>
    <n v="0.25"/>
    <n v="0.25"/>
    <n v="0.25"/>
    <n v="0.25"/>
    <n v="0.25"/>
    <s v="Yes"/>
  </r>
  <r>
    <x v="0"/>
    <s v="Others"/>
    <x v="0"/>
    <s v="Jaroslav Kral"/>
    <x v="3"/>
    <s v="ADaM 2.0 GCISO"/>
    <x v="0"/>
    <n v="87101359"/>
    <m/>
    <n v="0"/>
    <x v="0"/>
    <x v="0"/>
    <n v="0.2"/>
    <n v="0.2"/>
    <n v="0.2"/>
    <m/>
    <m/>
    <m/>
    <m/>
    <m/>
    <m/>
    <m/>
    <m/>
    <m/>
    <s v="Yes"/>
  </r>
  <r>
    <x v="2"/>
    <s v="Hosting Programs"/>
    <x v="2"/>
    <s v="Katerina Soukupova"/>
    <x v="4"/>
    <s v="SATs central PM order"/>
    <x v="1"/>
    <n v="31319957"/>
    <m/>
    <n v="474281"/>
    <x v="0"/>
    <x v="0"/>
    <n v="0.5"/>
    <n v="0.5"/>
    <n v="0.4"/>
    <m/>
    <m/>
    <n v="0.4"/>
    <m/>
    <n v="0.5"/>
    <n v="0.5"/>
    <n v="0.5"/>
    <n v="0.5"/>
    <n v="0.5"/>
    <s v="Yes"/>
  </r>
  <r>
    <x v="2"/>
    <s v="IS - Other"/>
    <x v="2"/>
    <s v="Hana Kodatova"/>
    <x v="4"/>
    <s v="BMC- Discovery Inventory PoC"/>
    <x v="0"/>
    <n v="87002028"/>
    <m/>
    <n v="130000"/>
    <x v="0"/>
    <x v="0"/>
    <n v="0.3"/>
    <n v="0.3"/>
    <n v="0.3"/>
    <n v="0.75"/>
    <n v="0.75"/>
    <n v="0.4"/>
    <n v="0.4"/>
    <m/>
    <m/>
    <m/>
    <m/>
    <m/>
    <s v="Yes"/>
  </r>
  <r>
    <x v="2"/>
    <s v="IS - Other"/>
    <x v="2"/>
    <s v="Hana Kodatova"/>
    <x v="4"/>
    <s v="Storage TR 2026"/>
    <x v="0"/>
    <n v="87101414"/>
    <m/>
    <n v="238525"/>
    <x v="0"/>
    <x v="0"/>
    <m/>
    <n v="0.3"/>
    <m/>
    <n v="0.25"/>
    <n v="0.25"/>
    <n v="0.15"/>
    <n v="0.15"/>
    <n v="0.15"/>
    <n v="0.15"/>
    <m/>
    <m/>
    <m/>
    <s v="Yes"/>
  </r>
  <r>
    <x v="2"/>
    <s v="Hosting Programs"/>
    <x v="2"/>
    <s v="Neeraja Duddu"/>
    <x v="4"/>
    <s v="Dummy order - VACATIONS"/>
    <x v="0"/>
    <s v="n/a"/>
    <m/>
    <n v="0"/>
    <x v="0"/>
    <x v="0"/>
    <m/>
    <m/>
    <n v="0.5"/>
    <m/>
    <m/>
    <m/>
    <m/>
    <n v="0.25"/>
    <m/>
    <m/>
    <m/>
    <m/>
    <s v="Yes"/>
  </r>
  <r>
    <x v="2"/>
    <s v="Hosting Programs"/>
    <x v="2"/>
    <s v="Hana Kodatova"/>
    <x v="4"/>
    <s v="DSC FR - Infolog upgrade IT PM"/>
    <x v="1"/>
    <n v="31318231"/>
    <m/>
    <n v="4453"/>
    <x v="0"/>
    <x v="0"/>
    <n v="0.2"/>
    <m/>
    <m/>
    <n v="0.05"/>
    <m/>
    <m/>
    <m/>
    <m/>
    <m/>
    <m/>
    <m/>
    <m/>
    <s v="Yes"/>
  </r>
  <r>
    <x v="2"/>
    <s v="Hosting Programs"/>
    <x v="2"/>
    <s v="Katerina Soukupova"/>
    <x v="5"/>
    <s v="SATs central PM order"/>
    <x v="1"/>
    <n v="31319957"/>
    <m/>
    <n v="474281"/>
    <x v="0"/>
    <x v="0"/>
    <n v="0.5"/>
    <n v="0.4"/>
    <n v="0.4"/>
    <n v="0.4"/>
    <n v="0.4"/>
    <n v="0.4"/>
    <n v="0.1"/>
    <n v="0.25"/>
    <n v="0.25"/>
    <n v="0.25"/>
    <n v="0.25"/>
    <n v="0.5"/>
    <s v="Yes"/>
  </r>
  <r>
    <x v="2"/>
    <s v="Hosting Programs"/>
    <x v="2"/>
    <s v="Neeraja Duddu"/>
    <x v="5"/>
    <s v="Dummy order - PART TIME"/>
    <x v="0"/>
    <s v="n/a"/>
    <m/>
    <n v="0"/>
    <x v="0"/>
    <x v="0"/>
    <n v="0.2"/>
    <n v="0.2"/>
    <n v="0.2"/>
    <n v="0.2"/>
    <n v="0.2"/>
    <n v="0.2"/>
    <n v="0.2"/>
    <n v="0.2"/>
    <n v="0.2"/>
    <n v="0.2"/>
    <n v="0.2"/>
    <n v="0.2"/>
    <s v="Yes"/>
  </r>
  <r>
    <x v="2"/>
    <s v="SEF"/>
    <x v="2"/>
    <s v="Hana Sinska"/>
    <x v="5"/>
    <s v="APIDOG"/>
    <x v="0"/>
    <n v="87101388"/>
    <m/>
    <n v="60000"/>
    <x v="0"/>
    <x v="0"/>
    <n v="0.25"/>
    <n v="0.15"/>
    <n v="0.15"/>
    <n v="0.1"/>
    <n v="0.1"/>
    <n v="0.1"/>
    <m/>
    <m/>
    <m/>
    <m/>
    <m/>
    <m/>
    <s v="Yes"/>
  </r>
  <r>
    <x v="2"/>
    <s v="Hosting Programs"/>
    <x v="2"/>
    <s v="Hana Sinska"/>
    <x v="5"/>
    <s v="Dell Server Onboarding"/>
    <x v="0"/>
    <n v="89101329"/>
    <m/>
    <n v="251000"/>
    <x v="0"/>
    <x v="0"/>
    <n v="0.25"/>
    <n v="0.25"/>
    <n v="0.25"/>
    <n v="0.25"/>
    <n v="0.25"/>
    <n v="0.25"/>
    <n v="0.1"/>
    <n v="0.25"/>
    <n v="0.25"/>
    <n v="0.25"/>
    <n v="0.25"/>
    <m/>
    <s v="Yes"/>
  </r>
  <r>
    <x v="2"/>
    <s v="IS - Other"/>
    <x v="2"/>
    <s v="Hana Sinska"/>
    <x v="5"/>
    <s v="Internal servers EOL"/>
    <x v="0"/>
    <s v="89101266 "/>
    <m/>
    <n v="13599.16"/>
    <x v="0"/>
    <x v="0"/>
    <m/>
    <n v="0.15"/>
    <n v="0.15"/>
    <n v="0.15"/>
    <n v="0.15"/>
    <n v="0.15"/>
    <n v="0.05"/>
    <n v="0.05"/>
    <n v="0.05"/>
    <n v="0.05"/>
    <n v="0.05"/>
    <n v="0.05"/>
    <s v="Yes"/>
  </r>
  <r>
    <x v="2"/>
    <s v="Hosting Programs"/>
    <x v="2"/>
    <s v="Katerina Soukupova"/>
    <x v="6"/>
    <s v="SATs central PM order"/>
    <x v="1"/>
    <n v="31319957"/>
    <m/>
    <n v="474281"/>
    <x v="0"/>
    <x v="0"/>
    <n v="0.5"/>
    <n v="0.5"/>
    <n v="0.5"/>
    <n v="0.5"/>
    <n v="0.5"/>
    <n v="0.5"/>
    <n v="0.4"/>
    <n v="0.4"/>
    <n v="0.4"/>
    <n v="0.4"/>
    <n v="0.4"/>
    <n v="0.4"/>
    <s v="Yes"/>
  </r>
  <r>
    <x v="2"/>
    <s v="Hosting Programs"/>
    <x v="2"/>
    <s v="Jana Veberova"/>
    <x v="6"/>
    <s v="EXP EU Ws2016 OS R. - Server Refresh"/>
    <x v="1"/>
    <n v="31319332"/>
    <m/>
    <n v="321571.20000000001"/>
    <x v="0"/>
    <x v="0"/>
    <n v="0.5"/>
    <n v="0.5"/>
    <n v="0.5"/>
    <n v="0.5"/>
    <n v="0.5"/>
    <n v="0.5"/>
    <n v="0.4"/>
    <n v="0.4"/>
    <n v="0.4"/>
    <n v="0.4"/>
    <n v="0.4"/>
    <n v="0.4"/>
    <s v="Yes"/>
  </r>
  <r>
    <x v="2"/>
    <s v="IS - Other"/>
    <x v="2"/>
    <s v="Ivan Godunov"/>
    <x v="7"/>
    <s v="PoC - BMC - OpenShift onboarding"/>
    <x v="0"/>
    <n v="87002011"/>
    <m/>
    <n v="24830"/>
    <x v="1"/>
    <x v="0"/>
    <n v="0.5"/>
    <n v="0.3"/>
    <n v="0.3"/>
    <n v="0.3"/>
    <n v="0.05"/>
    <n v="0.05"/>
    <m/>
    <m/>
    <m/>
    <m/>
    <m/>
    <m/>
    <s v="Yes"/>
  </r>
  <r>
    <x v="2"/>
    <s v="IS - Other"/>
    <x v="2"/>
    <s v="Ivan Godunov"/>
    <x v="7"/>
    <s v="Malware servers scanning"/>
    <x v="0"/>
    <n v="89101198"/>
    <m/>
    <n v="0"/>
    <x v="0"/>
    <x v="0"/>
    <m/>
    <n v="0.4"/>
    <n v="0.4"/>
    <m/>
    <m/>
    <m/>
    <m/>
    <m/>
    <m/>
    <m/>
    <m/>
    <m/>
    <s v="Yes"/>
  </r>
  <r>
    <x v="2"/>
    <s v="Hosting Programs"/>
    <x v="2"/>
    <s v="Zlata Benesova"/>
    <x v="7"/>
    <s v="DeC GHO EVRi IT_29 Transition 2026"/>
    <x v="1"/>
    <n v="31319843"/>
    <m/>
    <n v="1355572"/>
    <x v="0"/>
    <x v="0"/>
    <m/>
    <n v="0.3"/>
    <n v="0.3"/>
    <m/>
    <m/>
    <m/>
    <m/>
    <m/>
    <m/>
    <m/>
    <m/>
    <m/>
    <s v="Yes"/>
  </r>
  <r>
    <x v="2"/>
    <s v="IS - Other"/>
    <x v="2"/>
    <s v="Ivan Godunov"/>
    <x v="7"/>
    <s v="ITS resilient operations"/>
    <x v="0"/>
    <n v="87002052"/>
    <m/>
    <n v="151060"/>
    <x v="0"/>
    <x v="0"/>
    <n v="0.5"/>
    <n v="0.3"/>
    <n v="0.3"/>
    <n v="0.8"/>
    <n v="0.9"/>
    <n v="0.9"/>
    <n v="0.9"/>
    <n v="0.9"/>
    <n v="0.9"/>
    <n v="0.9"/>
    <n v="0.9"/>
    <n v="0.9"/>
    <s v="Yes"/>
  </r>
  <r>
    <x v="0"/>
    <s v="Telecoms"/>
    <x v="0"/>
    <s v="Jan Cesnek"/>
    <x v="8"/>
    <s v="New NGFW requests"/>
    <x v="1"/>
    <s v="Multiple"/>
    <m/>
    <n v="500000"/>
    <x v="0"/>
    <x v="0"/>
    <n v="1"/>
    <n v="1"/>
    <n v="1"/>
    <n v="1"/>
    <n v="1"/>
    <n v="1"/>
    <n v="1"/>
    <n v="1"/>
    <n v="1"/>
    <n v="1"/>
    <n v="1"/>
    <n v="1"/>
    <s v="Yes"/>
  </r>
  <r>
    <x v="0"/>
    <s v="Telecoms"/>
    <x v="0"/>
    <s v="Jan Ondrak"/>
    <x v="9"/>
    <s v="Netflow solution review - PoC"/>
    <x v="0"/>
    <n v="89100816"/>
    <m/>
    <n v="0"/>
    <x v="0"/>
    <x v="2"/>
    <n v="0.3"/>
    <n v="0.3"/>
    <n v="0.3"/>
    <n v="0.3"/>
    <n v="0.3"/>
    <n v="0.3"/>
    <m/>
    <m/>
    <m/>
    <m/>
    <m/>
    <m/>
    <s v="Yes"/>
  </r>
  <r>
    <x v="0"/>
    <s v="Others"/>
    <x v="0"/>
    <s v="Jan Ondrak"/>
    <x v="9"/>
    <s v="PTV Sites Phase 2 2025 (GSN Internal development)"/>
    <x v="0"/>
    <n v="87001963"/>
    <m/>
    <n v="1000"/>
    <x v="1"/>
    <x v="0"/>
    <n v="0.1"/>
    <m/>
    <m/>
    <m/>
    <m/>
    <m/>
    <m/>
    <m/>
    <m/>
    <m/>
    <m/>
    <m/>
    <s v="Yes"/>
  </r>
  <r>
    <x v="0"/>
    <s v="Telecoms"/>
    <x v="0"/>
    <s v="Jan Ondrak"/>
    <x v="9"/>
    <s v="Site Connectivity (Core Network connections - ITS 2 location in IN, DSC AU, BLueDart DeC IN)"/>
    <x v="0"/>
    <s v="87101425, 89100816, 89101328"/>
    <m/>
    <n v="0"/>
    <x v="0"/>
    <x v="3"/>
    <n v="0.3"/>
    <n v="0.3"/>
    <n v="0.3"/>
    <n v="0.3"/>
    <n v="0.3"/>
    <n v="0.3"/>
    <n v="0.3"/>
    <n v="0.3"/>
    <n v="0.3"/>
    <n v="0.3"/>
    <n v="0.3"/>
    <n v="0.3"/>
    <s v="Yes"/>
  </r>
  <r>
    <x v="0"/>
    <s v="Telecoms"/>
    <x v="0"/>
    <s v="Jan Ondrak"/>
    <x v="9"/>
    <s v="Global ITS Meraki Service"/>
    <x v="0"/>
    <n v="89101295"/>
    <m/>
    <n v="0"/>
    <x v="0"/>
    <x v="3"/>
    <n v="0.3"/>
    <n v="0.3"/>
    <n v="0.3"/>
    <n v="0.3"/>
    <n v="0.3"/>
    <n v="0.3"/>
    <n v="0.3"/>
    <n v="0.3"/>
    <n v="0.3"/>
    <m/>
    <m/>
    <m/>
    <s v="Yes"/>
  </r>
  <r>
    <x v="2"/>
    <s v="SEF"/>
    <x v="2"/>
    <s v="Jan Truksa"/>
    <x v="10"/>
    <s v="Patching Grid : Automated Deployment"/>
    <x v="0"/>
    <n v="87101401"/>
    <m/>
    <n v="687000"/>
    <x v="2"/>
    <x v="0"/>
    <n v="1"/>
    <n v="1"/>
    <n v="1"/>
    <n v="1"/>
    <n v="1"/>
    <n v="1"/>
    <m/>
    <m/>
    <m/>
    <m/>
    <m/>
    <m/>
    <s v="Yes"/>
  </r>
  <r>
    <x v="2"/>
    <s v="Hosting Programs"/>
    <x v="2"/>
    <s v="Jana Veberova"/>
    <x v="11"/>
    <s v="EXP EU Ws2016 OS R. - Server Refresh"/>
    <x v="1"/>
    <n v="31319332"/>
    <m/>
    <n v="321571.20000000001"/>
    <x v="0"/>
    <x v="0"/>
    <n v="0.7"/>
    <n v="0.7"/>
    <n v="0.7"/>
    <n v="0.8"/>
    <n v="0.9"/>
    <n v="0.9"/>
    <n v="0.8"/>
    <n v="0.8"/>
    <n v="0.8"/>
    <n v="0.8"/>
    <n v="0.7"/>
    <n v="0.7"/>
    <s v="Yes"/>
  </r>
  <r>
    <x v="2"/>
    <s v="Hosting Programs"/>
    <x v="2"/>
    <s v="Jana Veberova"/>
    <x v="11"/>
    <s v="DSC DE - RIM Blue."/>
    <x v="1"/>
    <n v="31317555"/>
    <m/>
    <n v="9008.16"/>
    <x v="1"/>
    <x v="0"/>
    <n v="0.2"/>
    <n v="0.2"/>
    <n v="0.2"/>
    <n v="0.1"/>
    <m/>
    <m/>
    <m/>
    <m/>
    <m/>
    <m/>
    <m/>
    <m/>
    <s v="Yes"/>
  </r>
  <r>
    <x v="0"/>
    <s v="Others"/>
    <x v="0"/>
    <s v="Jaroslav Kral"/>
    <x v="12"/>
    <s v="ADaM 2.0 GCISO"/>
    <x v="0"/>
    <n v="87101359"/>
    <m/>
    <n v="0"/>
    <x v="0"/>
    <x v="0"/>
    <n v="1"/>
    <n v="1"/>
    <n v="1"/>
    <n v="0.6"/>
    <n v="0.6"/>
    <n v="0.6"/>
    <n v="0.6"/>
    <n v="0.6"/>
    <n v="0.6"/>
    <n v="0.6"/>
    <n v="0.6"/>
    <n v="0.6"/>
    <s v="Yes"/>
  </r>
  <r>
    <x v="2"/>
    <s v="Hosting Programs"/>
    <x v="2"/>
    <s v="Katerina Soukupova"/>
    <x v="13"/>
    <s v="SATs central PM order"/>
    <x v="1"/>
    <n v="31319957"/>
    <m/>
    <n v="474281"/>
    <x v="0"/>
    <x v="0"/>
    <n v="0.8"/>
    <n v="0.8"/>
    <n v="0.8"/>
    <n v="0.8"/>
    <n v="0.8"/>
    <n v="0.8"/>
    <n v="0.8"/>
    <n v="0.8"/>
    <n v="0.8"/>
    <n v="0.8"/>
    <n v="0.8"/>
    <n v="0.8"/>
    <s v="Yes"/>
  </r>
  <r>
    <x v="2"/>
    <s v="Hosting Programs"/>
    <x v="2"/>
    <s v="Neeraja Duddu"/>
    <x v="13"/>
    <s v="Dummy order - PART TIME"/>
    <x v="0"/>
    <s v="n/a"/>
    <m/>
    <n v="0"/>
    <x v="0"/>
    <x v="0"/>
    <n v="0.2"/>
    <n v="0.2"/>
    <n v="0.2"/>
    <n v="0.2"/>
    <n v="0.2"/>
    <n v="0.2"/>
    <n v="0.2"/>
    <n v="0.2"/>
    <n v="0.2"/>
    <n v="0.2"/>
    <n v="0.2"/>
    <n v="0.2"/>
    <s v="Yes"/>
  </r>
  <r>
    <x v="0"/>
    <s v="Others"/>
    <x v="0"/>
    <s v="Kirill Shabalkin"/>
    <x v="14"/>
    <s v="SecMCO Lite Deployment (154 additional EXP sites)"/>
    <x v="0"/>
    <n v="89101178"/>
    <m/>
    <n v="0"/>
    <x v="2"/>
    <x v="0"/>
    <m/>
    <n v="0.2"/>
    <m/>
    <m/>
    <m/>
    <m/>
    <m/>
    <m/>
    <m/>
    <m/>
    <m/>
    <m/>
    <s v="Yes"/>
  </r>
  <r>
    <x v="0"/>
    <s v="Others"/>
    <x v="0"/>
    <s v="Kirill Shabalkin"/>
    <x v="14"/>
    <s v="S/MIME User certificates"/>
    <x v="0"/>
    <n v="89100541"/>
    <m/>
    <n v="0"/>
    <x v="1"/>
    <x v="0"/>
    <n v="0.2"/>
    <n v="0.2"/>
    <n v="0.2"/>
    <n v="0.2"/>
    <n v="0.2"/>
    <m/>
    <m/>
    <m/>
    <m/>
    <m/>
    <m/>
    <m/>
    <s v="Yes"/>
  </r>
  <r>
    <x v="0"/>
    <s v="Others"/>
    <x v="0"/>
    <s v="Kirill Shabalkin"/>
    <x v="14"/>
    <s v="SecMCOv1 to SecMCOv3 Transformation of Premium Hubs"/>
    <x v="0"/>
    <n v="89101178"/>
    <m/>
    <n v="0"/>
    <x v="0"/>
    <x v="0"/>
    <m/>
    <n v="0.2"/>
    <n v="0.2"/>
    <n v="0.2"/>
    <n v="0.2"/>
    <n v="0.2"/>
    <n v="0.2"/>
    <n v="0.2"/>
    <n v="0.2"/>
    <n v="0.2"/>
    <n v="0.2"/>
    <n v="0.2"/>
    <s v="Yes"/>
  </r>
  <r>
    <x v="0"/>
    <s v="Telecoms"/>
    <x v="0"/>
    <s v="Kirill Shabalkin"/>
    <x v="14"/>
    <s v="OT security (Infosec driven, subject to PG1, approval through ITAM WG)"/>
    <x v="0"/>
    <n v="87101339"/>
    <m/>
    <n v="0"/>
    <x v="0"/>
    <x v="0"/>
    <m/>
    <n v="0.2"/>
    <n v="0.5"/>
    <n v="0.5"/>
    <n v="0.5"/>
    <n v="0.5"/>
    <n v="0.5"/>
    <n v="0.5"/>
    <n v="0.5"/>
    <n v="0.5"/>
    <n v="0.5"/>
    <n v="0.5"/>
    <s v="Yes"/>
  </r>
  <r>
    <x v="2"/>
    <s v="SEF"/>
    <x v="2"/>
    <s v="Kristina Fojtkova"/>
    <x v="15"/>
    <s v="Antimalware GW"/>
    <x v="0"/>
    <n v="87101430"/>
    <m/>
    <n v="304000"/>
    <x v="0"/>
    <x v="0"/>
    <n v="0.5"/>
    <n v="0.5"/>
    <n v="0.5"/>
    <n v="0.5"/>
    <n v="0.5"/>
    <n v="0.5"/>
    <n v="0.5"/>
    <n v="0.5"/>
    <n v="0.5"/>
    <n v="0.5"/>
    <n v="0.5"/>
    <m/>
    <s v="Yes"/>
  </r>
  <r>
    <x v="2"/>
    <s v="Hosting Programs"/>
    <x v="2"/>
    <s v="Jana Veberova"/>
    <x v="15"/>
    <s v="EXP EU Ws2016 OS R. - Server Refresh"/>
    <x v="1"/>
    <n v="31319332"/>
    <m/>
    <n v="321571.20000000001"/>
    <x v="0"/>
    <x v="0"/>
    <m/>
    <m/>
    <n v="0.5"/>
    <n v="0.5"/>
    <n v="0.5"/>
    <n v="0.5"/>
    <n v="0.5"/>
    <n v="0.5"/>
    <n v="0.5"/>
    <n v="0.5"/>
    <n v="0.5"/>
    <n v="0.5"/>
    <s v="Yes"/>
  </r>
  <r>
    <x v="2"/>
    <s v="IS - Other"/>
    <x v="2"/>
    <s v="Kristina Fojtkova"/>
    <x v="15"/>
    <s v="PP R PostIdent Analysis 2025"/>
    <x v="1"/>
    <s v="31319971 "/>
    <m/>
    <n v="0"/>
    <x v="1"/>
    <x v="0"/>
    <n v="0.4"/>
    <n v="0.4"/>
    <n v="0.4"/>
    <m/>
    <m/>
    <m/>
    <m/>
    <m/>
    <m/>
    <m/>
    <m/>
    <m/>
    <s v="Yes"/>
  </r>
  <r>
    <x v="1"/>
    <s v="IS - Other"/>
    <x v="1"/>
    <s v="Lisette Fincke"/>
    <x v="16"/>
    <s v="EXP GL Resilience 2.0_ISQ_Automation"/>
    <x v="1"/>
    <n v="31310721"/>
    <m/>
    <n v="250000"/>
    <x v="0"/>
    <x v="0"/>
    <n v="0.7"/>
    <n v="0.7"/>
    <n v="0.7"/>
    <n v="0.5"/>
    <n v="0.5"/>
    <n v="0.5"/>
    <n v="0.2"/>
    <n v="0.2"/>
    <n v="0.2"/>
    <n v="0.2"/>
    <n v="0.2"/>
    <n v="0.2"/>
    <s v="Yes"/>
  </r>
  <r>
    <x v="1"/>
    <s v="Telecoms"/>
    <x v="1"/>
    <s v="Lisette Fincke"/>
    <x v="16"/>
    <s v="FreeRadius Sunset "/>
    <x v="0"/>
    <n v="0"/>
    <m/>
    <n v="0"/>
    <x v="0"/>
    <x v="0"/>
    <n v="0.05"/>
    <n v="0.05"/>
    <n v="0.05"/>
    <m/>
    <m/>
    <m/>
    <m/>
    <m/>
    <m/>
    <m/>
    <m/>
    <m/>
    <s v="Yes"/>
  </r>
  <r>
    <x v="2"/>
    <s v="Hosting Programs"/>
    <x v="2"/>
    <s v="Katerina Soukupova"/>
    <x v="17"/>
    <s v="SATs central PM order"/>
    <x v="1"/>
    <n v="31319957"/>
    <m/>
    <n v="474281"/>
    <x v="0"/>
    <x v="0"/>
    <n v="0.5"/>
    <n v="0.5"/>
    <n v="0.5"/>
    <n v="0.5"/>
    <n v="0.5"/>
    <n v="0.5"/>
    <n v="0.5"/>
    <n v="0.5"/>
    <n v="0.5"/>
    <n v="0.5"/>
    <n v="0.5"/>
    <n v="0.5"/>
    <s v="Yes"/>
  </r>
  <r>
    <x v="2"/>
    <s v="Hosting Programs"/>
    <x v="2"/>
    <s v="Neeraja Duddu"/>
    <x v="17"/>
    <s v="DPAM Workstreams mgmt"/>
    <x v="0"/>
    <s v="89101263 "/>
    <m/>
    <n v="0"/>
    <x v="0"/>
    <x v="0"/>
    <n v="0.4"/>
    <n v="0.4"/>
    <n v="0.4"/>
    <n v="0.4"/>
    <n v="0.4"/>
    <n v="0.4"/>
    <n v="0.4"/>
    <n v="0.4"/>
    <n v="0.4"/>
    <n v="0.4"/>
    <m/>
    <m/>
    <s v="Yes"/>
  </r>
  <r>
    <x v="2"/>
    <s v="IS - Other"/>
    <x v="2"/>
    <s v="Hana Sinska"/>
    <x v="17"/>
    <s v="Internal servers EOL"/>
    <x v="0"/>
    <s v="89101266 "/>
    <m/>
    <n v="13599.16"/>
    <x v="0"/>
    <x v="0"/>
    <n v="0.15"/>
    <n v="0.15"/>
    <n v="0.15"/>
    <n v="0.15"/>
    <n v="0.15"/>
    <n v="0.15"/>
    <n v="0.15"/>
    <n v="0.15"/>
    <n v="0.15"/>
    <n v="0.15"/>
    <n v="0.15"/>
    <m/>
    <s v="Yes"/>
  </r>
  <r>
    <x v="0"/>
    <s v="Telecoms"/>
    <x v="0"/>
    <s v="Ludek Houska"/>
    <x v="18"/>
    <s v="Dec IB Celia Network Design Changes"/>
    <x v="1"/>
    <s v="31318081"/>
    <m/>
    <n v="8444"/>
    <x v="1"/>
    <x v="0"/>
    <n v="0.2"/>
    <n v="0.2"/>
    <n v="0.2"/>
    <m/>
    <m/>
    <m/>
    <m/>
    <m/>
    <m/>
    <m/>
    <m/>
    <m/>
    <s v="Yes"/>
  </r>
  <r>
    <x v="0"/>
    <s v="Telecoms"/>
    <x v="0"/>
    <s v="Ludek Houska"/>
    <x v="18"/>
    <s v="Unified DDoS (CDC Service Enhancement)"/>
    <x v="0"/>
    <n v="87101349"/>
    <m/>
    <n v="848000"/>
    <x v="0"/>
    <x v="0"/>
    <n v="0.8"/>
    <n v="0.8"/>
    <n v="0.8"/>
    <n v="0.9"/>
    <n v="0.9"/>
    <n v="1"/>
    <n v="1"/>
    <n v="1"/>
    <n v="1"/>
    <n v="1"/>
    <n v="1"/>
    <n v="1"/>
    <s v="Yes"/>
  </r>
  <r>
    <x v="1"/>
    <s v="Others"/>
    <x v="1"/>
    <s v="Muhammad Yusry"/>
    <x v="19"/>
    <s v="ITS Infosec Program management"/>
    <x v="0"/>
    <n v="89100881"/>
    <m/>
    <n v="0"/>
    <x v="1"/>
    <x v="0"/>
    <n v="0.5"/>
    <n v="0.2"/>
    <n v="0.1"/>
    <m/>
    <m/>
    <m/>
    <m/>
    <m/>
    <m/>
    <m/>
    <m/>
    <m/>
    <s v="Yes"/>
  </r>
  <r>
    <x v="1"/>
    <s v="Telecoms"/>
    <x v="1"/>
    <s v="Muhammad Yusry"/>
    <x v="19"/>
    <s v="DSCAP-Windows_2016_EOS_Assessment"/>
    <x v="1"/>
    <s v="31319089"/>
    <m/>
    <n v="9575"/>
    <x v="1"/>
    <x v="0"/>
    <n v="0.2"/>
    <n v="0.2"/>
    <n v="0.1"/>
    <n v="0.1"/>
    <m/>
    <m/>
    <m/>
    <m/>
    <m/>
    <m/>
    <m/>
    <m/>
    <s v="Yes"/>
  </r>
  <r>
    <x v="1"/>
    <s v="Others"/>
    <x v="1"/>
    <s v="Muhammad Yusry"/>
    <x v="19"/>
    <s v="DC Fortigate Refresh - GLOBAL"/>
    <x v="0"/>
    <n v="87101411"/>
    <m/>
    <n v="0"/>
    <x v="0"/>
    <x v="0"/>
    <m/>
    <n v="0.4"/>
    <n v="0.4"/>
    <n v="0.4"/>
    <n v="0.4"/>
    <n v="0.4"/>
    <n v="0.4"/>
    <m/>
    <m/>
    <m/>
    <m/>
    <m/>
    <s v="Yes"/>
  </r>
  <r>
    <x v="0"/>
    <s v="Telecoms"/>
    <x v="1"/>
    <s v="Jan Cesnek"/>
    <x v="19"/>
    <s v="New NGFW requests"/>
    <x v="1"/>
    <s v="Multiple"/>
    <m/>
    <n v="500000"/>
    <x v="0"/>
    <x v="0"/>
    <n v="0.2"/>
    <n v="0.2"/>
    <n v="0.3"/>
    <n v="0.3"/>
    <n v="0.5"/>
    <n v="0.5"/>
    <n v="0.5"/>
    <n v="0.5"/>
    <n v="0.5"/>
    <n v="0.5"/>
    <n v="0.5"/>
    <n v="0.5"/>
    <s v="Yes"/>
  </r>
  <r>
    <x v="1"/>
    <s v="DWS"/>
    <x v="1"/>
    <s v="Muthu Ramasamy"/>
    <x v="20"/>
    <s v="AP UCC Implementations"/>
    <x v="1"/>
    <n v="89101048"/>
    <m/>
    <n v="0"/>
    <x v="0"/>
    <x v="0"/>
    <n v="0.6"/>
    <n v="0.6"/>
    <n v="0.6"/>
    <n v="0.6"/>
    <n v="0.6"/>
    <n v="0.6"/>
    <n v="0.6"/>
    <n v="0.6"/>
    <n v="0.6"/>
    <n v="0.6"/>
    <n v="0.6"/>
    <m/>
    <s v="Yes"/>
  </r>
  <r>
    <x v="1"/>
    <s v="Telecoms"/>
    <x v="1"/>
    <s v="Muthu Ramasamy"/>
    <x v="20"/>
    <s v="ExpMena-17127-DHCP Migration"/>
    <x v="1"/>
    <n v="31319580"/>
    <m/>
    <n v="7294"/>
    <x v="0"/>
    <x v="0"/>
    <n v="0.2"/>
    <n v="0.2"/>
    <n v="0.2"/>
    <n v="0.2"/>
    <m/>
    <m/>
    <m/>
    <m/>
    <m/>
    <m/>
    <m/>
    <m/>
    <s v="Yes"/>
  </r>
  <r>
    <x v="2"/>
    <s v="IS - Other"/>
    <x v="2"/>
    <s v="Neeraja Duddu"/>
    <x v="21"/>
    <s v="Data Security Platform"/>
    <x v="0"/>
    <n v="87101362"/>
    <m/>
    <n v="71551.11"/>
    <x v="1"/>
    <x v="0"/>
    <n v="0.5"/>
    <n v="0.5"/>
    <n v="0.5"/>
    <n v="0.5"/>
    <n v="0.5"/>
    <n v="0.5"/>
    <n v="0.3"/>
    <m/>
    <m/>
    <m/>
    <m/>
    <m/>
    <s v="Yes"/>
  </r>
  <r>
    <x v="2"/>
    <s v="Hosting Programs"/>
    <x v="2"/>
    <s v="Neeraja Duddu"/>
    <x v="21"/>
    <s v="DPAM Workstreams mgmt"/>
    <x v="0"/>
    <s v="89101263 "/>
    <m/>
    <n v="0"/>
    <x v="0"/>
    <x v="0"/>
    <n v="0.4"/>
    <n v="0.4"/>
    <n v="0.4"/>
    <n v="0.4"/>
    <n v="0.4"/>
    <n v="0.4"/>
    <n v="0.3"/>
    <m/>
    <n v="0.5"/>
    <n v="0.5"/>
    <n v="0.5"/>
    <n v="0.5"/>
    <s v="Yes"/>
  </r>
  <r>
    <x v="1"/>
    <s v="SEF"/>
    <x v="1"/>
    <s v="Prosen Chandra"/>
    <x v="22"/>
    <s v="Broadcom Ghost replacement"/>
    <x v="0"/>
    <n v="87101290"/>
    <m/>
    <n v="222000"/>
    <x v="0"/>
    <x v="0"/>
    <n v="0.6"/>
    <n v="0.6"/>
    <n v="0.6"/>
    <n v="0.6"/>
    <n v="0.6"/>
    <n v="0.6"/>
    <n v="0.6"/>
    <n v="0.6"/>
    <n v="0.6"/>
    <n v="0.6"/>
    <n v="0.6"/>
    <n v="0.6"/>
    <s v="Yes"/>
  </r>
  <r>
    <x v="1"/>
    <s v="Hosting Programs"/>
    <x v="1"/>
    <s v="Prosen Chandra"/>
    <x v="22"/>
    <s v="Global consistent monitoring and Test servers monitoring"/>
    <x v="0"/>
    <s v="89100562 "/>
    <m/>
    <n v="0"/>
    <x v="1"/>
    <x v="0"/>
    <n v="0.1"/>
    <n v="0.1"/>
    <n v="0.1"/>
    <n v="0.1"/>
    <m/>
    <m/>
    <m/>
    <m/>
    <m/>
    <m/>
    <m/>
    <m/>
    <s v="Yes"/>
  </r>
  <r>
    <x v="1"/>
    <s v="IS - Other"/>
    <x v="1"/>
    <s v="Prosen Chandra"/>
    <x v="22"/>
    <s v="Observability for MQ and Openshift infrastructure"/>
    <x v="0"/>
    <n v="89100958"/>
    <m/>
    <n v="0"/>
    <x v="0"/>
    <x v="0"/>
    <n v="0.1"/>
    <n v="0.1"/>
    <n v="0.1"/>
    <n v="0.1"/>
    <m/>
    <m/>
    <m/>
    <m/>
    <m/>
    <m/>
    <m/>
    <m/>
    <s v="Yes"/>
  </r>
  <r>
    <x v="2"/>
    <s v="Hosting Programs"/>
    <x v="1"/>
    <s v="Katerina Soukupova"/>
    <x v="22"/>
    <s v="SATs central PM order"/>
    <x v="1"/>
    <n v="31319957"/>
    <m/>
    <n v="474281"/>
    <x v="0"/>
    <x v="0"/>
    <m/>
    <n v="0.2"/>
    <n v="0.2"/>
    <n v="0.2"/>
    <n v="0.2"/>
    <n v="0.2"/>
    <n v="0.2"/>
    <n v="0.2"/>
    <n v="0.2"/>
    <n v="0.2"/>
    <n v="0.2"/>
    <n v="0.2"/>
    <s v="Yes"/>
  </r>
  <r>
    <x v="0"/>
    <s v="SEF"/>
    <x v="0"/>
    <s v="Jaroslav Kral"/>
    <x v="23"/>
    <s v="IPv6 Telecoms 2026 "/>
    <x v="0"/>
    <n v="87101427"/>
    <m/>
    <n v="999000"/>
    <x v="0"/>
    <x v="0"/>
    <n v="0.8"/>
    <n v="0.8"/>
    <n v="0.8"/>
    <n v="0.8"/>
    <n v="0.8"/>
    <n v="0.8"/>
    <n v="0.8"/>
    <n v="0.8"/>
    <n v="0.8"/>
    <n v="0.8"/>
    <n v="0.8"/>
    <n v="0.8"/>
    <s v="Yes"/>
  </r>
  <r>
    <x v="0"/>
    <s v="Telecoms"/>
    <x v="0"/>
    <s v="Rene Zamecnik"/>
    <x v="23"/>
    <s v="Telecoms Patching grid"/>
    <x v="0"/>
    <n v="87002025"/>
    <m/>
    <n v="49905"/>
    <x v="0"/>
    <x v="0"/>
    <n v="0.2"/>
    <n v="0.2"/>
    <n v="0.2"/>
    <n v="0.2"/>
    <n v="0.2"/>
    <n v="0.2"/>
    <m/>
    <m/>
    <m/>
    <m/>
    <m/>
    <m/>
    <s v="Yes"/>
  </r>
  <r>
    <x v="0"/>
    <s v="Telecoms"/>
    <x v="0"/>
    <s v="Alina Nosulych"/>
    <x v="23"/>
    <s v="Migration of Secure Access User Access Management to PIAM(requested by Isaac based on Audit findings)"/>
    <x v="0"/>
    <n v="89100826"/>
    <m/>
    <n v="0"/>
    <x v="0"/>
    <x v="0"/>
    <m/>
    <n v="0.15"/>
    <n v="0.15"/>
    <n v="0.15"/>
    <m/>
    <m/>
    <m/>
    <m/>
    <m/>
    <m/>
    <m/>
    <m/>
    <s v="Yes"/>
  </r>
  <r>
    <x v="1"/>
    <s v="DWS"/>
    <x v="1"/>
    <s v="Ruthie Buenafe"/>
    <x v="24"/>
    <s v="Exchange Downgrade and Cloud Readiness"/>
    <x v="0"/>
    <s v="87101221 "/>
    <m/>
    <n v="0"/>
    <x v="1"/>
    <x v="0"/>
    <n v="0.65"/>
    <n v="0.65"/>
    <n v="0.65"/>
    <n v="0.65"/>
    <n v="0.65"/>
    <n v="0.65"/>
    <m/>
    <m/>
    <m/>
    <m/>
    <m/>
    <m/>
    <s v="Yes"/>
  </r>
  <r>
    <x v="1"/>
    <s v="DWS"/>
    <x v="1"/>
    <s v="Ruthie Buenafe"/>
    <x v="24"/>
    <s v="M365 Tenant Configuration Backup &amp; Recovery"/>
    <x v="0"/>
    <n v="87001931"/>
    <m/>
    <n v="0"/>
    <x v="0"/>
    <x v="0"/>
    <n v="0.25"/>
    <n v="0.25"/>
    <n v="0.25"/>
    <n v="0.25"/>
    <n v="0.25"/>
    <n v="0.25"/>
    <n v="0.25"/>
    <n v="0.25"/>
    <n v="0.25"/>
    <m/>
    <m/>
    <m/>
    <s v="Yes"/>
  </r>
  <r>
    <x v="2"/>
    <s v="Hosting Programs"/>
    <x v="0"/>
    <s v="Zlata Benesova"/>
    <x v="25"/>
    <s v="DeC GHO EVRi IT_29 Transition 2026"/>
    <x v="1"/>
    <n v="31319843"/>
    <m/>
    <n v="1355572"/>
    <x v="0"/>
    <x v="0"/>
    <n v="1"/>
    <n v="1"/>
    <n v="0.7"/>
    <n v="0.7"/>
    <n v="0.7"/>
    <n v="0.7"/>
    <n v="0.7"/>
    <n v="0.7"/>
    <n v="0.7"/>
    <n v="0.7"/>
    <m/>
    <m/>
    <s v="Yes"/>
  </r>
  <r>
    <x v="2"/>
    <s v="Hosting Programs"/>
    <x v="0"/>
    <s v="Sona Rackova"/>
    <x v="25"/>
    <s v="DeC GHO EVRi - Cisco Secure Access Implementation"/>
    <x v="1"/>
    <n v="31320188"/>
    <m/>
    <n v="73000"/>
    <x v="1"/>
    <x v="0"/>
    <m/>
    <m/>
    <m/>
    <m/>
    <m/>
    <m/>
    <m/>
    <m/>
    <m/>
    <m/>
    <m/>
    <m/>
    <s v="Yes"/>
  </r>
  <r>
    <x v="1"/>
    <s v="Telecoms"/>
    <x v="1"/>
    <s v="Saranyah Vairavan"/>
    <x v="26"/>
    <s v="DGFF-AP-DGF-CN-HK-RIM-HOSTING Tech Refresh 2025 BUILD"/>
    <x v="1"/>
    <n v="31318078"/>
    <m/>
    <n v="42480"/>
    <x v="0"/>
    <x v="0"/>
    <n v="0.3"/>
    <n v="0.5"/>
    <n v="0.5"/>
    <n v="0.3"/>
    <m/>
    <m/>
    <m/>
    <m/>
    <m/>
    <m/>
    <m/>
    <m/>
    <s v="Yes"/>
  </r>
  <r>
    <x v="1"/>
    <s v="Telecoms"/>
    <x v="1"/>
    <s v="Saranyah Vairavan"/>
    <x v="26"/>
    <s v="DSC-GSL-B-SeLECT-Emulator migration-ITPM"/>
    <x v="1"/>
    <n v="31318380"/>
    <m/>
    <n v="5099.8"/>
    <x v="1"/>
    <x v="0"/>
    <n v="0.5"/>
    <n v="0.1"/>
    <m/>
    <m/>
    <m/>
    <m/>
    <m/>
    <m/>
    <m/>
    <m/>
    <m/>
    <m/>
    <s v="Yes"/>
  </r>
  <r>
    <x v="2"/>
    <s v="Hosting Programs"/>
    <x v="1"/>
    <s v="Katerina Soukupova"/>
    <x v="26"/>
    <s v="SATs central PM order"/>
    <x v="1"/>
    <n v="31319957"/>
    <m/>
    <n v="474281"/>
    <x v="0"/>
    <x v="0"/>
    <n v="0.2"/>
    <n v="0.3"/>
    <n v="0.3"/>
    <n v="0.5"/>
    <n v="0.8"/>
    <n v="0.8"/>
    <n v="0.8"/>
    <n v="0.5"/>
    <n v="0.5"/>
    <n v="0.5"/>
    <n v="0.5"/>
    <n v="0.5"/>
    <s v="Yes"/>
  </r>
  <r>
    <x v="2"/>
    <s v="SEF"/>
    <x v="2"/>
    <s v="Jan Truksa"/>
    <x v="27"/>
    <s v="Patching Grid : Automated Deployment"/>
    <x v="0"/>
    <n v="87101401"/>
    <m/>
    <n v="687000"/>
    <x v="2"/>
    <x v="0"/>
    <n v="0.6"/>
    <n v="0.6"/>
    <n v="0.8"/>
    <n v="0.7"/>
    <m/>
    <m/>
    <m/>
    <m/>
    <m/>
    <m/>
    <m/>
    <m/>
    <s v="Yes"/>
  </r>
  <r>
    <x v="2"/>
    <s v="Hosting Programs"/>
    <x v="2"/>
    <s v="Yu Mon Htay"/>
    <x v="27"/>
    <s v="Vmware 2026"/>
    <x v="0"/>
    <s v="89100554 "/>
    <m/>
    <n v="0"/>
    <x v="0"/>
    <x v="0"/>
    <n v="0.25"/>
    <n v="0.25"/>
    <n v="0.25"/>
    <n v="0.25"/>
    <n v="0.25"/>
    <n v="0.25"/>
    <n v="0.25"/>
    <n v="0.25"/>
    <n v="0.25"/>
    <n v="0.25"/>
    <n v="0.25"/>
    <n v="0.25"/>
    <s v="Yes"/>
  </r>
  <r>
    <x v="2"/>
    <s v="Hosting Programs"/>
    <x v="2"/>
    <s v="Katerina Soukupova"/>
    <x v="27"/>
    <s v="SATs central PM order"/>
    <x v="1"/>
    <n v="31319957"/>
    <m/>
    <n v="474281"/>
    <x v="0"/>
    <x v="0"/>
    <n v="0.1"/>
    <m/>
    <m/>
    <m/>
    <n v="0.5"/>
    <m/>
    <n v="0.1"/>
    <n v="0.1"/>
    <m/>
    <m/>
    <m/>
    <m/>
    <s v="Yes"/>
  </r>
  <r>
    <x v="0"/>
    <s v="Telecoms"/>
    <x v="0"/>
    <s v="Zied Erebai"/>
    <x v="28"/>
    <s v="Zscaler Cloud Proxy for Blue collar workers"/>
    <x v="0"/>
    <n v="89100787"/>
    <m/>
    <n v="0"/>
    <x v="0"/>
    <x v="0"/>
    <n v="0.1"/>
    <n v="0.1"/>
    <n v="0.1"/>
    <m/>
    <m/>
    <m/>
    <m/>
    <m/>
    <m/>
    <m/>
    <m/>
    <m/>
    <s v="Yes"/>
  </r>
  <r>
    <x v="0"/>
    <s v="Telecoms"/>
    <x v="0"/>
    <s v="Zied Erebai"/>
    <x v="28"/>
    <s v="Internet capacity management​ (Zscaler BW control) "/>
    <x v="0"/>
    <n v="89100787"/>
    <m/>
    <n v="0"/>
    <x v="0"/>
    <x v="0"/>
    <m/>
    <m/>
    <n v="0.15"/>
    <n v="0.15"/>
    <n v="0.15"/>
    <n v="0.15"/>
    <n v="0.15"/>
    <n v="0.15"/>
    <m/>
    <m/>
    <m/>
    <m/>
    <s v="Yes"/>
  </r>
  <r>
    <x v="0"/>
    <s v="Telecoms"/>
    <x v="0"/>
    <s v="Zied Erebai"/>
    <x v="28"/>
    <s v="ZPA 3rd Party Access ​​(migrate from xcVPN to ZPA 3rd Party by June 2026)"/>
    <x v="0"/>
    <n v="89101224"/>
    <m/>
    <n v="0"/>
    <x v="0"/>
    <x v="0"/>
    <n v="0.2"/>
    <n v="0.2"/>
    <n v="0.2"/>
    <n v="0.2"/>
    <n v="0.2"/>
    <n v="0.2"/>
    <m/>
    <m/>
    <m/>
    <m/>
    <m/>
    <m/>
    <s v="Yes"/>
  </r>
  <r>
    <x v="0"/>
    <s v="Telecoms"/>
    <x v="0"/>
    <s v="Zied Erebai"/>
    <x v="28"/>
    <s v="Zscaler NSS log servers"/>
    <x v="0"/>
    <n v="89100787"/>
    <m/>
    <n v="0"/>
    <x v="0"/>
    <x v="0"/>
    <n v="0.1"/>
    <n v="0.1"/>
    <n v="0.1"/>
    <n v="0.1"/>
    <n v="0.1"/>
    <n v="0.1"/>
    <n v="0.1"/>
    <n v="0.1"/>
    <n v="0.1"/>
    <m/>
    <m/>
    <m/>
    <s v="Yes"/>
  </r>
  <r>
    <x v="0"/>
    <s v="Telecoms"/>
    <x v="0"/>
    <s v="Zied Erebai"/>
    <x v="28"/>
    <s v="Zscaler PAC file lifecycle full automation in Secure Access (ELM)"/>
    <x v="0"/>
    <n v="89100787"/>
    <m/>
    <n v="0"/>
    <x v="0"/>
    <x v="0"/>
    <n v="0.1"/>
    <n v="0.1"/>
    <n v="0.1"/>
    <n v="0.1"/>
    <n v="0.1"/>
    <n v="0.1"/>
    <n v="0.1"/>
    <n v="0.1"/>
    <n v="0.1"/>
    <m/>
    <m/>
    <m/>
    <s v="Yes"/>
  </r>
  <r>
    <x v="0"/>
    <s v="Others"/>
    <x v="0"/>
    <s v="Zied Erebai"/>
    <x v="28"/>
    <s v="Zscaler private access broker service introduction (ZSE Zscaler Edge)"/>
    <x v="0"/>
    <n v="87101413"/>
    <m/>
    <n v="80000"/>
    <x v="0"/>
    <x v="0"/>
    <n v="0.25"/>
    <n v="0.25"/>
    <n v="0.25"/>
    <n v="0.25"/>
    <n v="0.25"/>
    <n v="0.25"/>
    <n v="0.25"/>
    <n v="0.25"/>
    <n v="0.25"/>
    <n v="0.25"/>
    <n v="0.25"/>
    <n v="0.25"/>
    <s v="Yes"/>
  </r>
  <r>
    <x v="0"/>
    <s v="Telecoms"/>
    <x v="0"/>
    <s v="Zied Erebai"/>
    <x v="28"/>
    <s v="Zscaler - ZDX rollout to Bus"/>
    <x v="0"/>
    <n v="89100787"/>
    <m/>
    <n v="0"/>
    <x v="0"/>
    <x v="0"/>
    <n v="0.1"/>
    <n v="0.1"/>
    <n v="0.1"/>
    <n v="0.1"/>
    <n v="0.1"/>
    <n v="0.1"/>
    <n v="0.1"/>
    <m/>
    <m/>
    <m/>
    <m/>
    <m/>
    <s v="Yes"/>
  </r>
  <r>
    <x v="2"/>
    <s v="Hosting Programs"/>
    <x v="2"/>
    <s v="Zlata Benesova"/>
    <x v="29"/>
    <s v="IPv6 - IS part"/>
    <x v="0"/>
    <n v="89101264"/>
    <m/>
    <n v="0"/>
    <x v="3"/>
    <x v="0"/>
    <n v="0.15"/>
    <m/>
    <m/>
    <n v="0.3"/>
    <n v="0.3"/>
    <n v="0.3"/>
    <n v="0.3"/>
    <n v="0.3"/>
    <n v="0.3"/>
    <n v="0.3"/>
    <n v="0.3"/>
    <m/>
    <s v="Yes"/>
  </r>
  <r>
    <x v="2"/>
    <s v="Hosting Programs"/>
    <x v="2"/>
    <s v="Zlata Benesova"/>
    <x v="29"/>
    <s v="DeC GHO EVRi IT_29 Transition 2026"/>
    <x v="1"/>
    <n v="31319843"/>
    <m/>
    <n v="1355572"/>
    <x v="0"/>
    <x v="0"/>
    <n v="0.8"/>
    <n v="0.8"/>
    <n v="0.7"/>
    <n v="0.7"/>
    <n v="0.7"/>
    <n v="0.6"/>
    <n v="0.6"/>
    <n v="0.6"/>
    <n v="0.6"/>
    <n v="0.6"/>
    <n v="0.6"/>
    <m/>
    <s v="Yes"/>
  </r>
  <r>
    <x v="2"/>
    <s v="Hosting Programs"/>
    <x v="2"/>
    <s v="Neeraja Duddu"/>
    <x v="29"/>
    <s v="Dummy order - VACATIONS"/>
    <x v="0"/>
    <s v="n/a"/>
    <m/>
    <n v="0"/>
    <x v="0"/>
    <x v="0"/>
    <m/>
    <n v="0.25"/>
    <n v="0.25"/>
    <m/>
    <m/>
    <m/>
    <m/>
    <m/>
    <m/>
    <m/>
    <m/>
    <m/>
    <s v="Yes"/>
  </r>
  <r>
    <x v="0"/>
    <s v="Telecoms"/>
    <x v="0"/>
    <s v="Zdenek Novotny"/>
    <x v="30"/>
    <s v="DeC Iberia Celia Transition"/>
    <x v="1"/>
    <n v="31321899"/>
    <m/>
    <n v="1"/>
    <x v="1"/>
    <x v="4"/>
    <m/>
    <m/>
    <m/>
    <n v="0.75"/>
    <n v="0.1"/>
    <m/>
    <m/>
    <m/>
    <m/>
    <m/>
    <m/>
    <m/>
    <s v="Yes"/>
  </r>
  <r>
    <x v="0"/>
    <s v="Telecoms"/>
    <x v="0"/>
    <s v="Zdenek Novotny"/>
    <x v="30"/>
    <s v="DeC GHO MNG Kargo Connection to Shape+"/>
    <x v="1"/>
    <n v="31321974"/>
    <m/>
    <n v="1"/>
    <x v="1"/>
    <x v="5"/>
    <m/>
    <m/>
    <m/>
    <n v="0.1"/>
    <n v="0.1"/>
    <m/>
    <m/>
    <m/>
    <m/>
    <m/>
    <m/>
    <m/>
    <s v="Yes"/>
  </r>
  <r>
    <x v="0"/>
    <s v="Telecoms"/>
    <x v="0"/>
    <s v="Zdenek Novotny"/>
    <x v="25"/>
    <s v="DeC Iberia Celia Transition"/>
    <x v="1"/>
    <n v="31321899"/>
    <m/>
    <n v="1"/>
    <x v="1"/>
    <x v="4"/>
    <m/>
    <m/>
    <m/>
    <n v="0.2"/>
    <n v="0.15"/>
    <m/>
    <m/>
    <m/>
    <m/>
    <m/>
    <m/>
    <m/>
    <s v="Yes"/>
  </r>
  <r>
    <x v="0"/>
    <s v="Telecoms"/>
    <x v="0"/>
    <s v="Zdenek Novotny"/>
    <x v="18"/>
    <s v="DeC Iberia Celia Transition"/>
    <x v="1"/>
    <n v="31321899"/>
    <m/>
    <n v="1"/>
    <x v="1"/>
    <x v="4"/>
    <m/>
    <m/>
    <m/>
    <n v="0.1"/>
    <n v="0.1"/>
    <m/>
    <m/>
    <m/>
    <m/>
    <m/>
    <m/>
    <m/>
    <s v="Yes"/>
  </r>
  <r>
    <x v="0"/>
    <s v="Telecoms"/>
    <x v="0"/>
    <s v="Rene Zamecnik"/>
    <x v="23"/>
    <s v="DSC-IPv6-Migration Approach &amp; Certification ITS Support"/>
    <x v="1"/>
    <n v="31322131"/>
    <m/>
    <n v="1"/>
    <x v="0"/>
    <x v="6"/>
    <m/>
    <m/>
    <m/>
    <n v="0.1"/>
    <n v="0.3"/>
    <n v="0.3"/>
    <n v="0.3"/>
    <n v="0.3"/>
    <n v="0.3"/>
    <n v="0.3"/>
    <n v="0.3"/>
    <n v="0.3"/>
    <s v="Yes"/>
  </r>
  <r>
    <x v="0"/>
    <s v="Telecoms"/>
    <x v="0"/>
    <s v="Alina Nosulych"/>
    <x v="0"/>
    <s v="Migration of Secure Access User Access Management to PIAM(requested by Isaac based on Audit findings)"/>
    <x v="0"/>
    <n v="89100826"/>
    <m/>
    <n v="1"/>
    <x v="0"/>
    <x v="7"/>
    <m/>
    <m/>
    <m/>
    <m/>
    <n v="0.15"/>
    <n v="0.15"/>
    <n v="0.15"/>
    <n v="0.15"/>
    <m/>
    <m/>
    <m/>
    <m/>
    <s v="Yes"/>
  </r>
  <r>
    <x v="0"/>
    <s v="SEF"/>
    <x v="0"/>
    <s v="Jaroslav Kral"/>
    <x v="12"/>
    <s v="IPv6 Telecoms 2026 "/>
    <x v="0"/>
    <n v="87101427"/>
    <m/>
    <n v="1"/>
    <x v="0"/>
    <x v="8"/>
    <m/>
    <m/>
    <m/>
    <n v="0.6"/>
    <n v="0.6"/>
    <n v="0.6"/>
    <n v="0.6"/>
    <n v="0.6"/>
    <n v="0.6"/>
    <n v="0.6"/>
    <n v="0.6"/>
    <n v="0.6"/>
    <s v="Yes"/>
  </r>
  <r>
    <x v="2"/>
    <s v="IS - Other"/>
    <x v="2"/>
    <s v="Irina Denisova"/>
    <x v="6"/>
    <s v="IS Quality improvements 2026"/>
    <x v="0"/>
    <n v="87002038"/>
    <m/>
    <n v="1"/>
    <x v="0"/>
    <x v="9"/>
    <m/>
    <m/>
    <m/>
    <m/>
    <n v="0.2"/>
    <n v="0.2"/>
    <n v="0.2"/>
    <n v="0.2"/>
    <n v="0.2"/>
    <n v="0.2"/>
    <n v="0.2"/>
    <n v="0.2"/>
    <s v="Yes"/>
  </r>
  <r>
    <x v="2"/>
    <s v="IS - Other"/>
    <x v="2"/>
    <s v="Hana Kodatova"/>
    <x v="4"/>
    <s v="DE LEJ Storage Consolidation Project"/>
    <x v="1"/>
    <n v="0"/>
    <m/>
    <n v="1"/>
    <x v="0"/>
    <x v="10"/>
    <m/>
    <m/>
    <m/>
    <m/>
    <m/>
    <m/>
    <n v="0.3"/>
    <n v="0.2"/>
    <n v="0.2"/>
    <n v="0.2"/>
    <n v="0.2"/>
    <m/>
    <s v="Yes"/>
  </r>
  <r>
    <x v="2"/>
    <s v="Hosting Programs"/>
    <x v="2"/>
    <s v="Hana Sinska"/>
    <x v="5"/>
    <s v="DGFF-EU-DGF EU-BLDRUN-WS2016 refresh "/>
    <x v="1"/>
    <n v="31322625"/>
    <m/>
    <n v="1"/>
    <x v="0"/>
    <x v="11"/>
    <m/>
    <m/>
    <m/>
    <m/>
    <m/>
    <m/>
    <n v="0.5"/>
    <n v="0.3"/>
    <n v="0.3"/>
    <n v="0.3"/>
    <n v="0.3"/>
    <m/>
    <s v="Yes"/>
  </r>
  <r>
    <x v="2"/>
    <s v="Hosting Programs"/>
    <x v="2"/>
    <s v="Jana Veberova"/>
    <x v="11"/>
    <s v="Group Functions - Ws2016 OS refresh"/>
    <x v="1"/>
    <s v="n/a"/>
    <m/>
    <n v="1"/>
    <x v="0"/>
    <x v="0"/>
    <m/>
    <m/>
    <m/>
    <m/>
    <m/>
    <m/>
    <n v="0.2"/>
    <n v="0.2"/>
    <n v="0.2"/>
    <n v="0.2"/>
    <n v="0.2"/>
    <n v="0.2"/>
    <s v="Yes"/>
  </r>
  <r>
    <x v="2"/>
    <s v="Hosting Programs"/>
    <x v="2"/>
    <s v="Neeraja Duddu"/>
    <x v="10"/>
    <s v="DPAM Workstreams mgmt"/>
    <x v="0"/>
    <s v="89101263 "/>
    <m/>
    <n v="1"/>
    <x v="0"/>
    <x v="7"/>
    <m/>
    <m/>
    <m/>
    <m/>
    <m/>
    <m/>
    <n v="0.4"/>
    <n v="0.5"/>
    <n v="0.5"/>
    <n v="0.5"/>
    <n v="0.5"/>
    <n v="0.5"/>
    <m/>
  </r>
  <r>
    <x v="2"/>
    <s v="Hosting Programs"/>
    <x v="2"/>
    <s v="Hana Sinska"/>
    <x v="27"/>
    <s v="DGFF-EU-DGF EU-BLDRUN-WS2016 refresh "/>
    <x v="1"/>
    <n v="31322625"/>
    <m/>
    <n v="1"/>
    <x v="0"/>
    <x v="11"/>
    <m/>
    <m/>
    <m/>
    <m/>
    <m/>
    <n v="0.3"/>
    <n v="0.3"/>
    <n v="0.4"/>
    <n v="0.4"/>
    <n v="0.3"/>
    <n v="0.3"/>
    <n v="0.3"/>
    <m/>
  </r>
  <r>
    <x v="2"/>
    <s v="Hosting Programs"/>
    <x v="2"/>
    <s v="Neeraja Duddu"/>
    <x v="27"/>
    <s v="Dummy order - VACATIONS"/>
    <x v="0"/>
    <s v="n/a"/>
    <m/>
    <n v="1"/>
    <x v="0"/>
    <x v="7"/>
    <m/>
    <m/>
    <m/>
    <m/>
    <n v="0.25"/>
    <n v="0.3"/>
    <m/>
    <m/>
    <m/>
    <m/>
    <m/>
    <m/>
    <m/>
  </r>
  <r>
    <x v="2"/>
    <s v="Hosting Programs"/>
    <x v="2"/>
    <s v="Jana Veberova"/>
    <x v="27"/>
    <s v="Group Functions - Ws2016 OS refresh"/>
    <x v="1"/>
    <s v="n/a"/>
    <m/>
    <n v="1"/>
    <x v="0"/>
    <x v="12"/>
    <m/>
    <m/>
    <m/>
    <m/>
    <m/>
    <n v="0.2"/>
    <n v="0.25"/>
    <n v="0.25"/>
    <n v="0.25"/>
    <n v="0.25"/>
    <n v="0.25"/>
    <n v="0.25"/>
    <m/>
  </r>
  <r>
    <x v="2"/>
    <s v="Hosting Programs"/>
    <x v="2"/>
    <s v="Neeraja Duddu"/>
    <x v="21"/>
    <s v="Dummy order - VACATIONS"/>
    <x v="0"/>
    <s v="n/a"/>
    <m/>
    <n v="1"/>
    <x v="0"/>
    <x v="7"/>
    <m/>
    <m/>
    <m/>
    <m/>
    <m/>
    <m/>
    <n v="0.3"/>
    <n v="1"/>
    <n v="0.15"/>
    <m/>
    <m/>
    <m/>
    <m/>
  </r>
  <r>
    <x v="0"/>
    <s v="Telecoms"/>
    <x v="0"/>
    <s v="Pavla Zidkova"/>
    <x v="31"/>
    <s v="Workload Segmentation RFI Initiative"/>
    <x v="0"/>
    <n v="0"/>
    <m/>
    <n v="1"/>
    <x v="4"/>
    <x v="7"/>
    <m/>
    <m/>
    <m/>
    <m/>
    <m/>
    <n v="0.1"/>
    <n v="0.2"/>
    <n v="0.2"/>
    <n v="0.2"/>
    <m/>
    <m/>
    <m/>
    <m/>
  </r>
  <r>
    <x v="3"/>
    <e v="#N/A"/>
    <x v="2"/>
    <e v="#N/A"/>
    <x v="32"/>
    <s v="Postident"/>
    <x v="2"/>
    <e v="#N/A"/>
    <m/>
    <e v="#N/A"/>
    <x v="5"/>
    <x v="13"/>
    <m/>
    <m/>
    <m/>
    <m/>
    <m/>
    <m/>
    <m/>
    <m/>
    <m/>
    <m/>
    <m/>
    <m/>
    <m/>
  </r>
  <r>
    <x v="3"/>
    <e v="#N/A"/>
    <x v="2"/>
    <e v="#N/A"/>
    <x v="32"/>
    <s v="Elyssium"/>
    <x v="2"/>
    <e v="#N/A"/>
    <m/>
    <e v="#N/A"/>
    <x v="5"/>
    <x v="13"/>
    <m/>
    <m/>
    <m/>
    <m/>
    <m/>
    <m/>
    <m/>
    <m/>
    <m/>
    <m/>
    <m/>
    <m/>
    <m/>
  </r>
  <r>
    <x v="3"/>
    <e v="#N/A"/>
    <x v="2"/>
    <e v="#N/A"/>
    <x v="32"/>
    <s v="AI on Prem"/>
    <x v="2"/>
    <e v="#N/A"/>
    <m/>
    <e v="#N/A"/>
    <x v="5"/>
    <x v="13"/>
    <m/>
    <m/>
    <m/>
    <m/>
    <m/>
    <m/>
    <m/>
    <m/>
    <m/>
    <m/>
    <m/>
    <m/>
    <m/>
  </r>
  <r>
    <x v="3"/>
    <e v="#N/A"/>
    <x v="2"/>
    <e v="#N/A"/>
    <x v="32"/>
    <s v="AI Ops"/>
    <x v="2"/>
    <e v="#N/A"/>
    <m/>
    <e v="#N/A"/>
    <x v="5"/>
    <x v="13"/>
    <m/>
    <m/>
    <m/>
    <m/>
    <m/>
    <m/>
    <m/>
    <m/>
    <m/>
    <m/>
    <m/>
    <m/>
    <m/>
  </r>
  <r>
    <x v="3"/>
    <e v="#N/A"/>
    <x v="2"/>
    <e v="#N/A"/>
    <x v="32"/>
    <s v="Vault"/>
    <x v="2"/>
    <e v="#N/A"/>
    <m/>
    <e v="#N/A"/>
    <x v="5"/>
    <x v="13"/>
    <m/>
    <m/>
    <m/>
    <m/>
    <m/>
    <m/>
    <m/>
    <m/>
    <m/>
    <m/>
    <m/>
    <m/>
    <m/>
  </r>
  <r>
    <x v="0"/>
    <s v="Telecoms"/>
    <x v="0"/>
    <s v="Kirill Shabalkin"/>
    <x v="14"/>
    <s v="Network Access Control PoC"/>
    <x v="0"/>
    <n v="89101178"/>
    <m/>
    <n v="1"/>
    <x v="0"/>
    <x v="7"/>
    <m/>
    <m/>
    <m/>
    <m/>
    <m/>
    <n v="0.1"/>
    <n v="0.1"/>
    <n v="0.1"/>
    <n v="0.1"/>
    <m/>
    <m/>
    <m/>
    <m/>
  </r>
  <r>
    <x v="0"/>
    <s v="Others"/>
    <x v="0"/>
    <s v="Kirill Shabalkin"/>
    <x v="14"/>
    <s v="PKI non-CT TLS certificate migration"/>
    <x v="0"/>
    <n v="89100541"/>
    <m/>
    <n v="1"/>
    <x v="0"/>
    <x v="7"/>
    <m/>
    <m/>
    <m/>
    <m/>
    <m/>
    <n v="0.5"/>
    <n v="0.5"/>
    <n v="0.5"/>
    <n v="0.5"/>
    <m/>
    <m/>
    <m/>
    <m/>
  </r>
  <r>
    <x v="0"/>
    <s v="Telecoms"/>
    <x v="0"/>
    <s v="Zdenek Novotny"/>
    <x v="30"/>
    <s v="DeC ES CTT Transition June/July"/>
    <x v="1"/>
    <n v="31322674"/>
    <m/>
    <n v="1"/>
    <x v="0"/>
    <x v="14"/>
    <m/>
    <m/>
    <m/>
    <m/>
    <m/>
    <n v="0.2"/>
    <n v="0.2"/>
    <m/>
    <m/>
    <m/>
    <m/>
    <m/>
    <m/>
  </r>
  <r>
    <x v="0"/>
    <s v="Telecoms"/>
    <x v="0"/>
    <s v="Zdenek Novotny"/>
    <x v="25"/>
    <s v="DeC ES CTT Transition June/July"/>
    <x v="1"/>
    <n v="31322674"/>
    <m/>
    <n v="1"/>
    <x v="0"/>
    <x v="14"/>
    <m/>
    <m/>
    <m/>
    <m/>
    <m/>
    <n v="0.3"/>
    <n v="0.3"/>
    <m/>
    <m/>
    <m/>
    <m/>
    <m/>
    <m/>
  </r>
  <r>
    <x v="3"/>
    <e v="#N/A"/>
    <x v="0"/>
    <e v="#N/A"/>
    <x v="0"/>
    <s v="Hosting Services Analysis for possible containerization"/>
    <x v="2"/>
    <e v="#N/A"/>
    <m/>
    <e v="#N/A"/>
    <x v="5"/>
    <x v="13"/>
    <m/>
    <m/>
    <m/>
    <m/>
    <m/>
    <m/>
    <n v="0.3"/>
    <n v="0.3"/>
    <n v="0.3"/>
    <n v="0.3"/>
    <m/>
    <m/>
    <m/>
  </r>
  <r>
    <x v="1"/>
    <s v="DWS"/>
    <x v="1"/>
    <s v="Ruthie Buenafe"/>
    <x v="24"/>
    <s v="MS Bookings Introduction"/>
    <x v="0"/>
    <n v="0"/>
    <m/>
    <n v="1"/>
    <x v="0"/>
    <x v="7"/>
    <m/>
    <m/>
    <m/>
    <m/>
    <m/>
    <n v="0.1"/>
    <n v="0.1"/>
    <n v="0.1"/>
    <n v="0.1"/>
    <m/>
    <m/>
    <m/>
    <m/>
  </r>
  <r>
    <x v="1"/>
    <s v="DWS"/>
    <x v="1"/>
    <s v="Ruthie Buenafe"/>
    <x v="24"/>
    <s v="Business Applications Patching Assessment"/>
    <x v="1"/>
    <n v="31321888"/>
    <m/>
    <n v="1"/>
    <x v="0"/>
    <x v="7"/>
    <m/>
    <m/>
    <m/>
    <m/>
    <m/>
    <m/>
    <n v="0.2"/>
    <n v="0.2"/>
    <n v="0.2"/>
    <n v="0.2"/>
    <m/>
    <m/>
    <m/>
  </r>
  <r>
    <x v="1"/>
    <s v="Telecoms"/>
    <x v="1"/>
    <s v="Lisette Fincke"/>
    <x v="16"/>
    <s v="DSC-GSL-B-SeLECT-ITPM SLDP 2026"/>
    <x v="1"/>
    <n v="31322939"/>
    <m/>
    <n v="1"/>
    <x v="0"/>
    <x v="15"/>
    <m/>
    <m/>
    <m/>
    <m/>
    <m/>
    <m/>
    <n v="0.8"/>
    <n v="0.8"/>
    <n v="0.8"/>
    <n v="0.8"/>
    <m/>
    <m/>
    <m/>
  </r>
  <r>
    <x v="1"/>
    <s v="Hosting Programs"/>
    <x v="1"/>
    <s v="Saranyah Vairavan"/>
    <x v="26"/>
    <s v="Ws2016 Express Thailand"/>
    <x v="1"/>
    <n v="31321610"/>
    <m/>
    <n v="1"/>
    <x v="0"/>
    <x v="16"/>
    <m/>
    <m/>
    <m/>
    <m/>
    <m/>
    <m/>
    <n v="0.5"/>
    <n v="0.5"/>
    <n v="0.5"/>
    <n v="0.5"/>
    <n v="0.5"/>
    <n v="0.5"/>
    <m/>
  </r>
  <r>
    <x v="1"/>
    <s v="Hosting Programs"/>
    <x v="1"/>
    <s v="Saranyah Vairavan"/>
    <x v="16"/>
    <s v="Ws2016 Express Thailand"/>
    <x v="1"/>
    <n v="31321610"/>
    <m/>
    <n v="1"/>
    <x v="0"/>
    <x v="16"/>
    <m/>
    <m/>
    <m/>
    <n v="0.5"/>
    <n v="0.5"/>
    <n v="0.5"/>
    <m/>
    <m/>
    <m/>
    <m/>
    <m/>
    <m/>
    <m/>
  </r>
  <r>
    <x v="3"/>
    <e v="#N/A"/>
    <x v="2"/>
    <e v="#N/A"/>
    <x v="10"/>
    <s v="Neeru's Project"/>
    <x v="2"/>
    <e v="#N/A"/>
    <m/>
    <e v="#N/A"/>
    <x v="5"/>
    <x v="13"/>
    <m/>
    <m/>
    <m/>
    <m/>
    <m/>
    <m/>
    <n v="0.2"/>
    <n v="0.3"/>
    <n v="0.2"/>
    <m/>
    <m/>
    <m/>
    <m/>
  </r>
  <r>
    <x v="3"/>
    <e v="#N/A"/>
    <x v="2"/>
    <e v="#N/A"/>
    <x v="10"/>
    <s v="Ops Security Portal"/>
    <x v="2"/>
    <e v="#N/A"/>
    <m/>
    <e v="#N/A"/>
    <x v="5"/>
    <x v="13"/>
    <m/>
    <m/>
    <m/>
    <m/>
    <m/>
    <m/>
    <m/>
    <m/>
    <n v="0.3"/>
    <n v="0.4"/>
    <n v="0.4"/>
    <m/>
    <m/>
  </r>
  <r>
    <x v="2"/>
    <s v="Hosting Programs"/>
    <x v="0"/>
    <s v="Zlata Benesova"/>
    <x v="31"/>
    <s v="DeC GHO EVRi IT_29 Transition 2026"/>
    <x v="1"/>
    <n v="31319843"/>
    <m/>
    <n v="1"/>
    <x v="0"/>
    <x v="17"/>
    <m/>
    <m/>
    <m/>
    <m/>
    <m/>
    <m/>
    <n v="0.2"/>
    <n v="0.5"/>
    <m/>
    <m/>
    <m/>
    <m/>
    <m/>
  </r>
  <r>
    <x v="0"/>
    <s v="SEF"/>
    <x v="0"/>
    <s v="Zdenek Novotny"/>
    <x v="30"/>
    <s v="AI PoC- Shadow AI Detection"/>
    <x v="0"/>
    <n v="0"/>
    <m/>
    <n v="0.95"/>
    <x v="4"/>
    <x v="18"/>
    <m/>
    <m/>
    <m/>
    <m/>
    <m/>
    <m/>
    <n v="0.5"/>
    <n v="0.5"/>
    <n v="0.5"/>
    <n v="0.5"/>
    <n v="0.5"/>
    <n v="0.5"/>
    <m/>
  </r>
  <r>
    <x v="0"/>
    <s v="Telecoms"/>
    <x v="0"/>
    <s v="Zdenek Novotny"/>
    <x v="30"/>
    <s v="CRYOPDP"/>
    <x v="1"/>
    <n v="0"/>
    <m/>
    <n v="0.5"/>
    <x v="4"/>
    <x v="19"/>
    <m/>
    <m/>
    <m/>
    <m/>
    <m/>
    <m/>
    <n v="0.2"/>
    <n v="0.2"/>
    <n v="0.2"/>
    <n v="0.2"/>
    <n v="0.2"/>
    <n v="0.2"/>
    <m/>
  </r>
  <r>
    <x v="2"/>
    <s v="IS - Other"/>
    <x v="2"/>
    <s v="Hana Kodatova"/>
    <x v="4"/>
    <s v="Topaz Containerisation"/>
    <x v="3"/>
    <n v="0"/>
    <m/>
    <n v="0.5"/>
    <x v="6"/>
    <x v="7"/>
    <m/>
    <m/>
    <m/>
    <m/>
    <m/>
    <m/>
    <m/>
    <n v="0.2"/>
    <m/>
    <m/>
    <m/>
    <m/>
    <m/>
  </r>
  <r>
    <x v="3"/>
    <e v="#N/A"/>
    <x v="2"/>
    <e v="#N/A"/>
    <x v="10"/>
    <s v="Michel's AI On prem project"/>
    <x v="2"/>
    <e v="#N/A"/>
    <m/>
    <e v="#N/A"/>
    <x v="5"/>
    <x v="13"/>
    <m/>
    <m/>
    <m/>
    <m/>
    <m/>
    <m/>
    <n v="0.1"/>
    <n v="0.25"/>
    <m/>
    <m/>
    <m/>
    <m/>
    <m/>
  </r>
  <r>
    <x v="2"/>
    <s v="Hosting Programs"/>
    <x v="2"/>
    <s v="Neeraja Duddu"/>
    <x v="10"/>
    <s v="Dummy order - VACATIONS"/>
    <x v="0"/>
    <s v="n/a"/>
    <m/>
    <n v="1"/>
    <x v="0"/>
    <x v="7"/>
    <m/>
    <m/>
    <m/>
    <m/>
    <m/>
    <m/>
    <n v="0.2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836ECD-07B7-43F8-BA55-C16C977AFED1}" name="PivotTable2" cacheId="1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PM">
  <location ref="A7:M20" firstHeaderRow="0" firstDataRow="1" firstDataCol="1" rowPageCount="5" colPageCount="1"/>
  <pivotFields count="25">
    <pivotField axis="axisPage" showAll="0">
      <items count="6">
        <item m="1" x="4"/>
        <item x="3"/>
        <item x="0"/>
        <item x="1"/>
        <item x="2"/>
        <item t="default"/>
      </items>
    </pivotField>
    <pivotField showAll="0"/>
    <pivotField axis="axisPage" multipleItemSelectionAllowed="1" showAll="0">
      <items count="7">
        <item m="1" x="4"/>
        <item x="2"/>
        <item h="1" x="0"/>
        <item h="1" x="1"/>
        <item h="1" m="1" x="3"/>
        <item m="1" x="5"/>
        <item t="default"/>
      </items>
    </pivotField>
    <pivotField showAll="0"/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m="1" x="33"/>
        <item x="30"/>
        <item x="31"/>
        <item x="32"/>
        <item t="default"/>
      </items>
    </pivotField>
    <pivotField showAll="0"/>
    <pivotField axis="axisPage" showAll="0">
      <items count="35">
        <item m="1" x="5"/>
        <item x="1"/>
        <item x="0"/>
        <item m="1" x="4"/>
        <item m="1" x="6"/>
        <item m="1" x="7"/>
        <item m="1" x="8"/>
        <item m="1" x="9"/>
        <item m="1" x="10"/>
        <item m="1" x="11"/>
        <item m="1" x="13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30"/>
        <item m="1" x="29"/>
        <item m="1" x="31"/>
        <item m="1" x="33"/>
        <item m="1" x="28"/>
        <item m="1" x="12"/>
        <item m="1" x="14"/>
        <item m="1" x="32"/>
        <item x="2"/>
        <item x="3"/>
        <item t="default"/>
      </items>
    </pivotField>
    <pivotField showAll="0"/>
    <pivotField showAll="0"/>
    <pivotField showAll="0"/>
    <pivotField axis="axisPage" showAll="0">
      <items count="43">
        <item x="4"/>
        <item x="6"/>
        <item m="1" x="8"/>
        <item m="1" x="7"/>
        <item m="1" x="11"/>
        <item m="1" x="12"/>
        <item m="1" x="13"/>
        <item m="1" x="17"/>
        <item m="1" x="18"/>
        <item m="1" x="20"/>
        <item m="1" x="21"/>
        <item m="1" x="24"/>
        <item m="1" x="25"/>
        <item m="1" x="26"/>
        <item m="1" x="29"/>
        <item m="1" x="30"/>
        <item m="1" x="28"/>
        <item m="1" x="31"/>
        <item m="1" x="32"/>
        <item m="1" x="35"/>
        <item m="1" x="33"/>
        <item m="1" x="36"/>
        <item m="1" x="39"/>
        <item m="1" x="37"/>
        <item m="1" x="41"/>
        <item m="1" x="38"/>
        <item m="1" x="15"/>
        <item m="1" x="27"/>
        <item m="1" x="10"/>
        <item m="1" x="34"/>
        <item m="1" x="16"/>
        <item m="1" x="22"/>
        <item m="1" x="19"/>
        <item m="1" x="40"/>
        <item m="1" x="9"/>
        <item m="1" x="14"/>
        <item m="1" x="23"/>
        <item x="5"/>
        <item x="0"/>
        <item x="1"/>
        <item x="2"/>
        <item x="3"/>
        <item t="default"/>
      </items>
    </pivotField>
    <pivotField axis="axisPage" showAll="0">
      <items count="50">
        <item x="7"/>
        <item m="1" x="21"/>
        <item x="1"/>
        <item m="1" x="22"/>
        <item x="3"/>
        <item x="0"/>
        <item m="1" x="25"/>
        <item m="1" x="47"/>
        <item m="1" x="26"/>
        <item m="1" x="27"/>
        <item m="1" x="29"/>
        <item m="1" x="31"/>
        <item m="1" x="32"/>
        <item m="1" x="34"/>
        <item m="1" x="35"/>
        <item m="1" x="36"/>
        <item m="1" x="39"/>
        <item m="1" x="38"/>
        <item m="1" x="41"/>
        <item m="1" x="42"/>
        <item m="1" x="44"/>
        <item m="1" x="45"/>
        <item m="1" x="48"/>
        <item m="1" x="37"/>
        <item m="1" x="46"/>
        <item m="1" x="28"/>
        <item m="1" x="23"/>
        <item m="1" x="24"/>
        <item m="1" x="30"/>
        <item m="1" x="33"/>
        <item x="13"/>
        <item m="1" x="40"/>
        <item m="1" x="43"/>
        <item m="1" x="20"/>
        <item x="2"/>
        <item x="4"/>
        <item x="5"/>
        <item x="6"/>
        <item x="8"/>
        <item x="9"/>
        <item x="11"/>
        <item x="12"/>
        <item x="14"/>
        <item x="15"/>
        <item x="16"/>
        <item x="10"/>
        <item x="17"/>
        <item x="18"/>
        <item x="1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4"/>
  </rowFields>
  <rowItems count="13">
    <i>
      <x v="4"/>
    </i>
    <i>
      <x v="5"/>
    </i>
    <i>
      <x v="6"/>
    </i>
    <i>
      <x v="7"/>
    </i>
    <i>
      <x v="10"/>
    </i>
    <i>
      <x v="11"/>
    </i>
    <i>
      <x v="13"/>
    </i>
    <i>
      <x v="15"/>
    </i>
    <i>
      <x v="17"/>
    </i>
    <i>
      <x v="21"/>
    </i>
    <i>
      <x v="27"/>
    </i>
    <i>
      <x v="29"/>
    </i>
    <i>
      <x v="33"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5">
    <pageField fld="10" hier="-1"/>
    <pageField fld="6" hier="-1"/>
    <pageField fld="11" hier="-1"/>
    <pageField fld="2" hier="-1"/>
    <pageField fld="0" hier="-1"/>
  </pageFields>
  <dataFields count="12">
    <dataField name="01/2026" fld="12" baseField="0" baseItem="0"/>
    <dataField name="02/2026" fld="13" baseField="0" baseItem="0"/>
    <dataField name="03/2026" fld="14" baseField="0" baseItem="0"/>
    <dataField name="04/2026" fld="15" baseField="0" baseItem="0"/>
    <dataField name="05/2026" fld="16" baseField="0" baseItem="0"/>
    <dataField name="06/2026" fld="17" baseField="0" baseItem="0"/>
    <dataField name="07/2026" fld="18" baseField="0" baseItem="0"/>
    <dataField name="08/2026" fld="19" baseField="0" baseItem="0"/>
    <dataField name="09/2026" fld="20" baseField="0" baseItem="0"/>
    <dataField name="10/2026" fld="21" baseField="0" baseItem="0"/>
    <dataField name="11/2026" fld="22" baseField="0" baseItem="0"/>
    <dataField name="12/2026" fld="23" baseField="0" baseItem="0"/>
  </dataFields>
  <formats count="9">
    <format dxfId="179">
      <pivotArea outline="0" collapsedLevelsAreSubtotals="1" fieldPosition="0"/>
    </format>
    <format dxfId="178">
      <pivotArea outline="0" collapsedLevelsAreSubtotals="1" fieldPosition="0"/>
    </format>
    <format dxfId="177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4" type="button" dataOnly="0" labelOnly="1" outline="0" axis="axisRow" fieldPosition="0"/>
    </format>
    <format dxfId="173">
      <pivotArea dataOnly="0" labelOnly="1" fieldPosition="0">
        <references count="1">
          <reference field="4" count="0"/>
        </references>
      </pivotArea>
    </format>
    <format dxfId="172">
      <pivotArea dataOnly="0" labelOnly="1" grandRow="1" outline="0" fieldPosition="0"/>
    </format>
    <format dxfId="171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7"/>
            <x v="8"/>
            <x v="9"/>
            <x v="10"/>
            <x v="11"/>
          </reference>
        </references>
      </pivotArea>
    </format>
  </formats>
  <conditionalFormats count="10">
    <conditionalFormat priority="10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9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8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7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6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3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1">
            <reference field="4" count="3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05432F-4BE8-4CCF-BB12-7A9D94EE41DF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0" firstHeaderRow="1" firstDataRow="1" firstDataCol="1"/>
  <pivotFields count="24">
    <pivotField dataField="1" showAll="0"/>
    <pivotField showAll="0">
      <items count="7">
        <item x="0"/>
        <item x="1"/>
        <item m="1" x="4"/>
        <item x="3"/>
        <item m="1" x="5"/>
        <item x="2"/>
        <item t="default"/>
      </items>
    </pivotField>
    <pivotField showAll="0"/>
    <pivotField showAll="0">
      <items count="4">
        <item x="0"/>
        <item x="1"/>
        <item m="1" x="2"/>
        <item t="default"/>
      </items>
    </pivotField>
    <pivotField showAll="0"/>
    <pivotField axis="axisRow" multipleItemSelectionAllowed="1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ject name (as in ITS1)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0516F-53AE-4F0D-949C-97573579D569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8:B46" firstHeaderRow="1" firstDataRow="1" firstDataCol="1"/>
  <pivotFields count="24">
    <pivotField dataField="1" showAll="0"/>
    <pivotField showAll="0">
      <items count="7">
        <item x="0"/>
        <item x="1"/>
        <item m="1" x="4"/>
        <item x="3"/>
        <item m="1" x="5"/>
        <item x="2"/>
        <item t="default"/>
      </items>
    </pivotField>
    <pivotField showAll="0"/>
    <pivotField showAll="0"/>
    <pivotField axis="axisRow" showAll="0">
      <items count="8">
        <item x="6"/>
        <item x="4"/>
        <item x="0"/>
        <item x="1"/>
        <item x="2"/>
        <item x="3"/>
        <item x="5"/>
        <item t="default"/>
      </items>
    </pivotField>
    <pivotField multipleItemSelectionAllowed="1" showAll="0">
      <items count="6">
        <item h="1" x="4"/>
        <item h="1"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ject name (as in ITS1)" fld="0" subtotal="count" baseField="0" baseItem="0"/>
  </dataFields>
  <chartFormats count="3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E4F6D-71E0-4C17-B7CC-5EF155C14674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1:B26" firstHeaderRow="1" firstDataRow="1" firstDataCol="1"/>
  <pivotFields count="24">
    <pivotField dataField="1" showAll="0"/>
    <pivotField axis="axisRow" showAll="0">
      <items count="7">
        <item x="0"/>
        <item x="1"/>
        <item m="1" x="4"/>
        <item x="3"/>
        <item m="1" x="5"/>
        <item x="2"/>
        <item t="default"/>
      </items>
    </pivotField>
    <pivotField showAll="0"/>
    <pivotField showAll="0"/>
    <pivotField showAll="0">
      <items count="8">
        <item x="6"/>
        <item x="4"/>
        <item x="0"/>
        <item x="1"/>
        <item x="2"/>
        <item x="3"/>
        <item x="5"/>
        <item t="default"/>
      </items>
    </pivotField>
    <pivotField multipleItemSelectionAllowed="1" showAll="0">
      <items count="6">
        <item h="1" x="4"/>
        <item h="1"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3"/>
    </i>
    <i>
      <x v="5"/>
    </i>
    <i t="grand">
      <x/>
    </i>
  </rowItems>
  <colItems count="1">
    <i/>
  </colItems>
  <dataFields count="1">
    <dataField name="Count of Project name (as in ITS1)" fld="0" subtotal="count" baseField="0" baseItem="0"/>
  </dataFields>
  <chartFormats count="2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934D4-C52D-4759-84B8-F87FCD8DAA2E}" name="Table1" displayName="Table1" ref="A3:X32" totalsRowShown="0">
  <autoFilter ref="A3:X32" xr:uid="{9ED934D4-C52D-4759-84B8-F87FCD8DAA2E}"/>
  <tableColumns count="24">
    <tableColumn id="1" xr3:uid="{1A4ED1B1-C572-4C40-A0A2-F107F55C4931}" name="Project name (as in ITS1)"/>
    <tableColumn id="2" xr3:uid="{D45B9346-0F27-45E3-9DF5-E2FCFCFCF4BC}" name="Tower"/>
    <tableColumn id="24" xr3:uid="{ADD87DEF-28CB-463B-87E9-9774EBD6A7A8}" name="Categroyr"/>
    <tableColumn id="3" xr3:uid="{81BF0225-68E8-4990-987E-BC0177DF816E}" name="PM name"/>
    <tableColumn id="4" xr3:uid="{CC838880-0252-4360-9679-F39EE08516A3}" name="Externality"/>
    <tableColumn id="5" xr3:uid="{608D7609-34CE-49DC-BBDE-D63BBA2DA8DF}" name="Status"/>
    <tableColumn id="6" xr3:uid="{69E60858-D597-444B-AB25-E8419B0B7640}" name="Project Charter"/>
    <tableColumn id="7" xr3:uid="{2407A272-1150-4FE7-9D52-F931E6D89738}" name="Project Charter reviewed by Hena"/>
    <tableColumn id="8" xr3:uid="{10064A49-1D4C-432E-8C08-77AD4EAA006B}" name="Project Plan"/>
    <tableColumn id="9" xr3:uid="{5104A299-B616-4A87-AF0D-97064E45DBAA}" name="Resource plan"/>
    <tableColumn id="10" xr3:uid="{544591DA-1680-432B-BF4A-F21A278F17B8}" name="PSR"/>
    <tableColumn id="11" xr3:uid="{BDEC4442-DB25-4833-84FA-1DD71DB4D1C2}" name="Lesson Learned"/>
    <tableColumn id="12" xr3:uid="{DA7191DE-7912-4968-9662-31175FDBF1A3}" name="Lessons Learned reviewed by Hena"/>
    <tableColumn id="13" xr3:uid="{A2D19A04-6179-40B2-883A-D5D1D35946AA}" name="Project Closure"/>
    <tableColumn id="14" xr3:uid="{3DA7DA86-4C3F-4DD5-BE0B-A24D71A0B108}" name="Project Closure reviewed by Hena"/>
    <tableColumn id="15" xr3:uid="{EE84A11A-2218-4DE5-8E1C-9F163154E0AA}" name="IS portfolio review scope"/>
    <tableColumn id="16" xr3:uid="{A493FC87-2545-4275-86E2-69D0362622FE}" name="Project Owner"/>
    <tableColumn id="17" xr3:uid="{25E53EFC-BBFF-4E92-AFE4-1BF903E76771}" name="SEF"/>
    <tableColumn id="18" xr3:uid="{B8BB594C-72A5-4A10-92E8-F6A7AEB17D30}" name="RAG status"/>
    <tableColumn id="19" xr3:uid="{587C53D4-E071-4055-ADA8-3F95F7A67785}" name="29th Jan scope"/>
    <tableColumn id="20" xr3:uid="{D1178908-DD31-42D5-90CB-91E0239F00C7}" name="24th Feb scope"/>
    <tableColumn id="21" xr3:uid="{B5639AAE-5693-4701-89E6-7EA956154A6B}" name="26th Mar scope"/>
    <tableColumn id="22" xr3:uid="{653A0FD4-4FFD-4FD9-85F6-B5481CAD5103}" name="28th Apr scope"/>
    <tableColumn id="23" xr3:uid="{58FE9731-E24B-40AC-91B1-71E3395729E2}" name="28th May 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8" dT="2026-02-27T14:35:04.89" personId="{901F0CD4-9A00-475B-A0BB-A1215526915A}" id="{2B8FCEF3-0562-4643-AC3A-F2963A07C0CF}">
    <text>Execution will be someone else, not Michel. 26 Feb 26</text>
  </threadedComment>
  <threadedComment ref="B79" dT="2026-02-27T14:35:04.89" personId="{901F0CD4-9A00-475B-A0BB-A1215526915A}" id="{642F36B3-A5C6-4B39-8D98-74ADCF3B5920}">
    <text>Execution will be someone else, not Michel. 26 Feb 26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9" dT="2026-07-16T14:04:57.51" personId="{901F0CD4-9A00-475B-A0BB-A1215526915A}" id="{35793F90-CCCA-47F1-ABE0-051D9D9E69EE}">
    <text xml:space="preserve">Chased Hana for the Project Charter on 16 Jul 2026, as I could not find any record of it in the project folder.
</text>
  </threadedComment>
  <threadedComment ref="J40" dT="2026-03-03T09:50:37.96" personId="{901F0CD4-9A00-475B-A0BB-A1215526915A}" id="{F4FB8709-4C77-406B-911F-9498B31CDE67}">
    <text>See SteerCo pack</text>
  </threadedComment>
  <threadedComment ref="G41" dT="2026-07-16T14:14:41.09" personId="{901F0CD4-9A00-475B-A0BB-A1215526915A}" id="{76636E18-1AE8-4F20-8E72-AAAC4658339F}">
    <text>Chased Ivan for the Project Charter on 16 Jul 2026, as I could not find any record of it in the project folder.</text>
  </threadedComment>
  <threadedComment ref="G42" dT="2026-07-16T14:04:57.51" personId="{901F0CD4-9A00-475B-A0BB-A1215526915A}" id="{A0E4F29F-138B-431A-B4D3-0DB8628D2CE8}">
    <text xml:space="preserve">Chased Hana for the Project Charter on 16 Jul 2026, as I could not find any record of it in the project folder.
</text>
  </threadedComment>
  <threadedComment ref="A53" dT="2026-02-27T14:35:04.89" personId="{901F0CD4-9A00-475B-A0BB-A1215526915A}" id="{568A1343-FDFD-4D42-AAF4-009B3C075C2C}">
    <text>Execution will be someone else, not Michel. 26 Feb 26</text>
  </threadedComment>
  <threadedComment ref="G119" dT="2026-07-16T14:04:57.51" personId="{901F0CD4-9A00-475B-A0BB-A1215526915A}" id="{5BDB8B9D-820F-4BDF-850C-31BD12127136}">
    <text xml:space="preserve">Chased Hana for the Project Charter on 16 Jul 2026, as I could not find any record of it in the project folder.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../../../:f:/r/sites/ISQPMO/Shared%20Documents/Project%20documentation/IS/Katerina%20Schmiedova/SATS/Documents?csf=1&amp;web=1&amp;e=SDq20u" TargetMode="Externa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35DE4-D972-468C-8B47-B4E3BC626216}">
  <sheetPr>
    <tabColor rgb="FFFFC000"/>
  </sheetPr>
  <dimension ref="A1:P205"/>
  <sheetViews>
    <sheetView tabSelected="1" zoomScale="90" zoomScaleNormal="90" workbookViewId="0">
      <pane ySplit="1" topLeftCell="A56" activePane="bottomLeft" state="frozen"/>
      <selection pane="bottomLeft" activeCell="K88" sqref="K88"/>
    </sheetView>
  </sheetViews>
  <sheetFormatPr baseColWidth="10" defaultColWidth="8.83203125" defaultRowHeight="15"/>
  <cols>
    <col min="1" max="1" width="40.5" customWidth="1"/>
    <col min="2" max="2" width="43.5" customWidth="1"/>
    <col min="3" max="4" width="16.83203125" customWidth="1"/>
    <col min="5" max="5" width="17.83203125" customWidth="1"/>
    <col min="6" max="6" width="10.5" style="40" customWidth="1"/>
    <col min="7" max="7" width="18.5" style="40" customWidth="1"/>
    <col min="8" max="8" width="22.5" customWidth="1"/>
    <col min="9" max="9" width="11.5" customWidth="1"/>
    <col min="10" max="11" width="13.5" style="40" customWidth="1"/>
    <col min="12" max="12" width="9.1640625" style="40"/>
    <col min="13" max="13" width="15.5" customWidth="1"/>
    <col min="14" max="14" width="10.5" customWidth="1"/>
    <col min="15" max="15" width="15.5" customWidth="1"/>
    <col min="16" max="16" width="59.5" customWidth="1"/>
  </cols>
  <sheetData>
    <row r="1" spans="1:16" ht="57.75" customHeight="1">
      <c r="A1" s="2" t="s">
        <v>0</v>
      </c>
      <c r="B1" s="3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4" t="s">
        <v>12</v>
      </c>
      <c r="N1" s="2" t="s">
        <v>13</v>
      </c>
      <c r="O1" s="2" t="s">
        <v>14</v>
      </c>
      <c r="P1" s="5" t="s">
        <v>15</v>
      </c>
    </row>
    <row r="2" spans="1:16">
      <c r="A2" s="7" t="s">
        <v>16</v>
      </c>
      <c r="B2" s="41" t="s">
        <v>17</v>
      </c>
      <c r="C2" s="34" t="s">
        <v>18</v>
      </c>
      <c r="D2" s="7" t="s">
        <v>19</v>
      </c>
      <c r="E2" s="7" t="s">
        <v>20</v>
      </c>
      <c r="F2" s="35" t="s">
        <v>21</v>
      </c>
      <c r="G2" s="35" t="s">
        <v>22</v>
      </c>
      <c r="H2" s="43">
        <v>89100298</v>
      </c>
      <c r="I2" s="35" t="s">
        <v>23</v>
      </c>
      <c r="J2" s="37">
        <v>46068</v>
      </c>
      <c r="K2" s="37">
        <v>46265</v>
      </c>
      <c r="L2" s="35" t="s">
        <v>24</v>
      </c>
      <c r="M2" s="38">
        <v>0</v>
      </c>
      <c r="N2" s="8">
        <v>1</v>
      </c>
      <c r="O2" s="6">
        <f t="shared" ref="O2:O9" si="0">M2*N2</f>
        <v>0</v>
      </c>
      <c r="P2" s="7" t="s">
        <v>25</v>
      </c>
    </row>
    <row r="3" spans="1:16">
      <c r="A3" s="7" t="s">
        <v>26</v>
      </c>
      <c r="B3" s="41" t="s">
        <v>27</v>
      </c>
      <c r="C3" s="34" t="s">
        <v>18</v>
      </c>
      <c r="D3" s="7" t="s">
        <v>18</v>
      </c>
      <c r="E3" s="7" t="s">
        <v>20</v>
      </c>
      <c r="F3" s="35" t="s">
        <v>21</v>
      </c>
      <c r="G3" s="35" t="s">
        <v>22</v>
      </c>
      <c r="H3" s="43" t="s">
        <v>28</v>
      </c>
      <c r="I3" s="35" t="s">
        <v>23</v>
      </c>
      <c r="J3" s="37">
        <v>46023</v>
      </c>
      <c r="K3" s="37">
        <v>46387</v>
      </c>
      <c r="L3" s="35" t="s">
        <v>24</v>
      </c>
      <c r="M3" s="38">
        <v>0</v>
      </c>
      <c r="N3" s="8">
        <v>1</v>
      </c>
      <c r="O3" s="6">
        <f t="shared" si="0"/>
        <v>0</v>
      </c>
      <c r="P3" s="7" t="s">
        <v>29</v>
      </c>
    </row>
    <row r="4" spans="1:16">
      <c r="A4" s="7" t="s">
        <v>30</v>
      </c>
      <c r="B4" s="41" t="s">
        <v>30</v>
      </c>
      <c r="C4" s="34" t="s">
        <v>18</v>
      </c>
      <c r="D4" s="7" t="s">
        <v>18</v>
      </c>
      <c r="E4" s="7" t="s">
        <v>20</v>
      </c>
      <c r="F4" s="35" t="s">
        <v>21</v>
      </c>
      <c r="G4" s="35" t="s">
        <v>22</v>
      </c>
      <c r="H4" s="36">
        <v>89100298</v>
      </c>
      <c r="I4" s="35" t="s">
        <v>31</v>
      </c>
      <c r="J4" s="37">
        <v>46068</v>
      </c>
      <c r="K4" s="37">
        <v>46142</v>
      </c>
      <c r="L4" s="35" t="s">
        <v>24</v>
      </c>
      <c r="M4" s="38">
        <v>0</v>
      </c>
      <c r="N4" s="47">
        <v>1</v>
      </c>
      <c r="O4" s="6">
        <f t="shared" si="0"/>
        <v>0</v>
      </c>
      <c r="P4" t="s">
        <v>32</v>
      </c>
    </row>
    <row r="5" spans="1:16">
      <c r="A5" s="7" t="s">
        <v>33</v>
      </c>
      <c r="B5" s="41" t="s">
        <v>34</v>
      </c>
      <c r="C5" s="34" t="s">
        <v>18</v>
      </c>
      <c r="D5" s="7" t="s">
        <v>18</v>
      </c>
      <c r="E5" s="7" t="s">
        <v>20</v>
      </c>
      <c r="F5" s="35" t="s">
        <v>21</v>
      </c>
      <c r="G5" s="40" t="s">
        <v>22</v>
      </c>
      <c r="H5" s="36">
        <v>89100536</v>
      </c>
      <c r="I5" s="35" t="s">
        <v>31</v>
      </c>
      <c r="J5" s="37">
        <v>46023</v>
      </c>
      <c r="K5" s="37">
        <v>46203</v>
      </c>
      <c r="L5" s="35" t="s">
        <v>35</v>
      </c>
      <c r="M5" s="38">
        <v>0</v>
      </c>
      <c r="N5" s="47">
        <v>1</v>
      </c>
      <c r="O5" s="6">
        <f t="shared" si="0"/>
        <v>0</v>
      </c>
      <c r="P5" t="s">
        <v>36</v>
      </c>
    </row>
    <row r="6" spans="1:16">
      <c r="A6" t="s">
        <v>37</v>
      </c>
      <c r="B6" t="s">
        <v>38</v>
      </c>
      <c r="C6" s="34" t="s">
        <v>18</v>
      </c>
      <c r="D6" s="7" t="s">
        <v>18</v>
      </c>
      <c r="E6" s="7" t="s">
        <v>20</v>
      </c>
      <c r="F6" s="35" t="s">
        <v>21</v>
      </c>
      <c r="G6" s="35" t="s">
        <v>22</v>
      </c>
      <c r="H6" s="40">
        <v>88100313</v>
      </c>
      <c r="I6" s="35" t="s">
        <v>23</v>
      </c>
      <c r="J6" s="37">
        <v>46023</v>
      </c>
      <c r="K6" s="37">
        <v>46387</v>
      </c>
      <c r="L6" s="35" t="s">
        <v>39</v>
      </c>
      <c r="M6" s="38">
        <v>0</v>
      </c>
      <c r="N6" s="39">
        <v>1</v>
      </c>
      <c r="O6" s="6">
        <f t="shared" si="0"/>
        <v>0</v>
      </c>
      <c r="P6" t="s">
        <v>40</v>
      </c>
    </row>
    <row r="7" spans="1:16">
      <c r="A7" t="s">
        <v>41</v>
      </c>
      <c r="B7" s="33" t="s">
        <v>42</v>
      </c>
      <c r="C7" s="34" t="s">
        <v>18</v>
      </c>
      <c r="D7" s="7" t="s">
        <v>18</v>
      </c>
      <c r="E7" s="7" t="s">
        <v>43</v>
      </c>
      <c r="F7" s="35" t="s">
        <v>21</v>
      </c>
      <c r="G7" s="35" t="s">
        <v>22</v>
      </c>
      <c r="H7" s="36">
        <v>89101258</v>
      </c>
      <c r="I7" s="35" t="s">
        <v>23</v>
      </c>
      <c r="J7" s="37">
        <v>45901</v>
      </c>
      <c r="K7" s="37">
        <v>46387</v>
      </c>
      <c r="L7" s="35" t="s">
        <v>35</v>
      </c>
      <c r="M7" s="38">
        <v>294645</v>
      </c>
      <c r="N7" s="47">
        <v>1</v>
      </c>
      <c r="O7" s="6">
        <f t="shared" si="0"/>
        <v>294645</v>
      </c>
    </row>
    <row r="8" spans="1:16">
      <c r="A8" s="15" t="s">
        <v>44</v>
      </c>
      <c r="B8" s="46" t="s">
        <v>44</v>
      </c>
      <c r="C8" s="34" t="s">
        <v>18</v>
      </c>
      <c r="D8" s="7" t="s">
        <v>18</v>
      </c>
      <c r="E8" s="7" t="s">
        <v>43</v>
      </c>
      <c r="F8" s="35" t="s">
        <v>21</v>
      </c>
      <c r="G8" s="35" t="s">
        <v>22</v>
      </c>
      <c r="H8" s="40" t="s">
        <v>45</v>
      </c>
      <c r="I8" s="35" t="s">
        <v>23</v>
      </c>
      <c r="J8" s="37">
        <v>46023</v>
      </c>
      <c r="K8" s="37">
        <v>46387</v>
      </c>
      <c r="L8" s="35" t="s">
        <v>24</v>
      </c>
      <c r="M8" s="38">
        <v>0</v>
      </c>
      <c r="N8" s="39">
        <v>1</v>
      </c>
      <c r="O8" s="6">
        <f t="shared" si="0"/>
        <v>0</v>
      </c>
      <c r="P8" t="s">
        <v>46</v>
      </c>
    </row>
    <row r="9" spans="1:16">
      <c r="A9" t="s">
        <v>47</v>
      </c>
      <c r="B9" t="s">
        <v>47</v>
      </c>
      <c r="C9" s="34" t="s">
        <v>18</v>
      </c>
      <c r="D9" s="7" t="s">
        <v>18</v>
      </c>
      <c r="E9" s="7" t="s">
        <v>43</v>
      </c>
      <c r="F9" s="35" t="s">
        <v>21</v>
      </c>
      <c r="G9" s="35" t="s">
        <v>22</v>
      </c>
      <c r="H9" s="40" t="s">
        <v>48</v>
      </c>
      <c r="I9" s="35" t="s">
        <v>23</v>
      </c>
      <c r="J9" s="37">
        <v>46023</v>
      </c>
      <c r="K9" s="37">
        <v>46387</v>
      </c>
      <c r="L9" s="35" t="s">
        <v>35</v>
      </c>
      <c r="M9" s="38">
        <v>0</v>
      </c>
      <c r="N9" s="39">
        <v>1</v>
      </c>
      <c r="O9" s="6">
        <f t="shared" si="0"/>
        <v>0</v>
      </c>
      <c r="P9" t="s">
        <v>49</v>
      </c>
    </row>
    <row r="10" spans="1:16">
      <c r="A10" s="7" t="s">
        <v>50</v>
      </c>
      <c r="B10" s="33" t="s">
        <v>51</v>
      </c>
      <c r="C10" s="34" t="s">
        <v>52</v>
      </c>
      <c r="D10" s="7" t="s">
        <v>53</v>
      </c>
      <c r="E10" s="7" t="s">
        <v>54</v>
      </c>
      <c r="F10" s="35" t="s">
        <v>55</v>
      </c>
      <c r="G10" s="35" t="s">
        <v>56</v>
      </c>
      <c r="H10" s="36">
        <v>31318838</v>
      </c>
      <c r="I10" s="35" t="s">
        <v>23</v>
      </c>
      <c r="J10" s="37">
        <v>45931</v>
      </c>
      <c r="K10" s="37">
        <v>46022</v>
      </c>
      <c r="L10" s="35" t="s">
        <v>39</v>
      </c>
      <c r="M10" s="38">
        <v>37236.639999999999</v>
      </c>
      <c r="N10" s="39">
        <v>1</v>
      </c>
      <c r="O10" s="6">
        <f t="shared" ref="O10:O17" si="1">M10*N10</f>
        <v>37236.639999999999</v>
      </c>
    </row>
    <row r="11" spans="1:16" ht="16">
      <c r="A11" s="45" t="s">
        <v>57</v>
      </c>
      <c r="B11" s="46" t="s">
        <v>57</v>
      </c>
      <c r="C11" s="34" t="s">
        <v>52</v>
      </c>
      <c r="D11" s="7" t="s">
        <v>18</v>
      </c>
      <c r="E11" s="7" t="s">
        <v>54</v>
      </c>
      <c r="F11" s="35" t="s">
        <v>55</v>
      </c>
      <c r="G11" s="35" t="s">
        <v>58</v>
      </c>
      <c r="H11" s="36" t="s">
        <v>59</v>
      </c>
      <c r="I11" s="35" t="s">
        <v>31</v>
      </c>
      <c r="J11" s="37">
        <v>45965</v>
      </c>
      <c r="K11" s="37">
        <v>46022</v>
      </c>
      <c r="L11" s="35" t="s">
        <v>60</v>
      </c>
      <c r="M11" s="38">
        <v>15486.16</v>
      </c>
      <c r="N11" s="8">
        <v>1</v>
      </c>
      <c r="O11" s="6">
        <f t="shared" si="1"/>
        <v>15486.16</v>
      </c>
      <c r="P11" t="s">
        <v>61</v>
      </c>
    </row>
    <row r="12" spans="1:16">
      <c r="A12" s="7" t="s">
        <v>62</v>
      </c>
      <c r="B12" s="41" t="s">
        <v>62</v>
      </c>
      <c r="C12" s="34" t="s">
        <v>52</v>
      </c>
      <c r="D12" s="7" t="s">
        <v>18</v>
      </c>
      <c r="E12" s="7" t="s">
        <v>54</v>
      </c>
      <c r="F12" s="35" t="s">
        <v>55</v>
      </c>
      <c r="G12" s="35" t="s">
        <v>63</v>
      </c>
      <c r="H12" s="36">
        <v>31318424</v>
      </c>
      <c r="I12" s="35" t="s">
        <v>31</v>
      </c>
      <c r="J12" s="37">
        <v>45831</v>
      </c>
      <c r="K12" s="37">
        <v>46081</v>
      </c>
      <c r="L12" s="35" t="s">
        <v>60</v>
      </c>
      <c r="M12" s="38">
        <v>1270.08</v>
      </c>
      <c r="N12" s="8">
        <v>1</v>
      </c>
      <c r="O12" s="6">
        <f t="shared" si="1"/>
        <v>1270.08</v>
      </c>
      <c r="P12" t="s">
        <v>64</v>
      </c>
    </row>
    <row r="13" spans="1:16">
      <c r="A13" s="7" t="s">
        <v>65</v>
      </c>
      <c r="B13" s="41" t="s">
        <v>65</v>
      </c>
      <c r="C13" s="34" t="s">
        <v>52</v>
      </c>
      <c r="D13" s="7" t="s">
        <v>18</v>
      </c>
      <c r="E13" s="7" t="s">
        <v>54</v>
      </c>
      <c r="F13" s="35" t="s">
        <v>55</v>
      </c>
      <c r="G13" s="35" t="s">
        <v>66</v>
      </c>
      <c r="H13" s="36">
        <v>31319663</v>
      </c>
      <c r="I13" s="35" t="s">
        <v>23</v>
      </c>
      <c r="J13" s="37">
        <v>45993</v>
      </c>
      <c r="K13" s="37">
        <v>46265</v>
      </c>
      <c r="L13" s="35" t="s">
        <v>39</v>
      </c>
      <c r="M13" s="38">
        <v>34225.230000000003</v>
      </c>
      <c r="N13" s="8">
        <v>1</v>
      </c>
      <c r="O13" s="6">
        <f t="shared" si="1"/>
        <v>34225.230000000003</v>
      </c>
    </row>
    <row r="14" spans="1:16">
      <c r="A14" s="7" t="s">
        <v>67</v>
      </c>
      <c r="B14" s="41" t="s">
        <v>68</v>
      </c>
      <c r="C14" s="34" t="s">
        <v>52</v>
      </c>
      <c r="D14" s="7" t="s">
        <v>18</v>
      </c>
      <c r="E14" s="7" t="s">
        <v>54</v>
      </c>
      <c r="F14" s="35" t="s">
        <v>55</v>
      </c>
      <c r="G14" s="35" t="s">
        <v>69</v>
      </c>
      <c r="H14" s="36">
        <v>31320039</v>
      </c>
      <c r="I14" s="35" t="s">
        <v>23</v>
      </c>
      <c r="J14" s="37">
        <v>46023</v>
      </c>
      <c r="K14" s="37">
        <v>46234</v>
      </c>
      <c r="L14" s="35" t="s">
        <v>60</v>
      </c>
      <c r="M14" s="38">
        <v>13344.31</v>
      </c>
      <c r="N14" s="8">
        <v>1</v>
      </c>
      <c r="O14" s="6">
        <f t="shared" si="1"/>
        <v>13344.31</v>
      </c>
    </row>
    <row r="15" spans="1:16">
      <c r="A15" s="7" t="s">
        <v>70</v>
      </c>
      <c r="B15" s="41" t="s">
        <v>68</v>
      </c>
      <c r="C15" s="34" t="s">
        <v>52</v>
      </c>
      <c r="D15" s="7" t="s">
        <v>18</v>
      </c>
      <c r="E15" s="7" t="s">
        <v>54</v>
      </c>
      <c r="F15" s="35" t="s">
        <v>55</v>
      </c>
      <c r="G15" s="35" t="s">
        <v>71</v>
      </c>
      <c r="H15" s="36">
        <v>31320038</v>
      </c>
      <c r="I15" s="35" t="s">
        <v>23</v>
      </c>
      <c r="J15" s="37">
        <v>46023</v>
      </c>
      <c r="K15" s="37">
        <v>46173</v>
      </c>
      <c r="L15" s="35" t="s">
        <v>60</v>
      </c>
      <c r="M15" s="38">
        <v>7842.74</v>
      </c>
      <c r="N15" s="8">
        <v>1</v>
      </c>
      <c r="O15" s="6">
        <f t="shared" si="1"/>
        <v>7842.74</v>
      </c>
      <c r="P15" s="7"/>
    </row>
    <row r="16" spans="1:16">
      <c r="A16" s="7" t="s">
        <v>72</v>
      </c>
      <c r="B16" s="41" t="s">
        <v>68</v>
      </c>
      <c r="C16" s="34" t="s">
        <v>52</v>
      </c>
      <c r="D16" s="7" t="s">
        <v>18</v>
      </c>
      <c r="E16" s="7" t="s">
        <v>54</v>
      </c>
      <c r="F16" s="35" t="s">
        <v>55</v>
      </c>
      <c r="G16" s="35" t="s">
        <v>73</v>
      </c>
      <c r="H16" s="36">
        <v>31320037</v>
      </c>
      <c r="I16" s="35" t="s">
        <v>23</v>
      </c>
      <c r="J16" s="37">
        <v>46023</v>
      </c>
      <c r="K16" s="37">
        <v>46173</v>
      </c>
      <c r="L16" s="35" t="s">
        <v>60</v>
      </c>
      <c r="M16" s="38">
        <v>3911.85</v>
      </c>
      <c r="N16" s="8">
        <v>1</v>
      </c>
      <c r="O16" s="6">
        <f t="shared" si="1"/>
        <v>3911.85</v>
      </c>
      <c r="P16" s="7"/>
    </row>
    <row r="17" spans="1:16">
      <c r="A17" s="45" t="s">
        <v>57</v>
      </c>
      <c r="B17" s="46" t="s">
        <v>57</v>
      </c>
      <c r="C17" s="34" t="s">
        <v>52</v>
      </c>
      <c r="D17" s="7" t="s">
        <v>18</v>
      </c>
      <c r="E17" t="s">
        <v>54</v>
      </c>
      <c r="F17" s="35" t="s">
        <v>55</v>
      </c>
      <c r="G17" s="40" t="s">
        <v>74</v>
      </c>
      <c r="H17" s="36">
        <v>31319237</v>
      </c>
      <c r="I17" s="35" t="s">
        <v>23</v>
      </c>
      <c r="J17" s="42">
        <v>45883</v>
      </c>
      <c r="K17" s="42">
        <v>46203</v>
      </c>
      <c r="L17" s="35" t="s">
        <v>60</v>
      </c>
      <c r="M17" s="38">
        <v>15994</v>
      </c>
      <c r="N17" s="8">
        <v>1</v>
      </c>
      <c r="O17" s="6">
        <f t="shared" si="1"/>
        <v>15994</v>
      </c>
      <c r="P17" t="s">
        <v>75</v>
      </c>
    </row>
    <row r="18" spans="1:16">
      <c r="A18" s="7" t="s">
        <v>76</v>
      </c>
      <c r="B18" s="41" t="s">
        <v>76</v>
      </c>
      <c r="C18" s="34" t="s">
        <v>77</v>
      </c>
      <c r="D18" s="7" t="s">
        <v>78</v>
      </c>
      <c r="E18" s="7" t="s">
        <v>79</v>
      </c>
      <c r="F18" s="35" t="s">
        <v>21</v>
      </c>
      <c r="G18" s="35">
        <v>1091183860</v>
      </c>
      <c r="H18" s="36">
        <v>87101375</v>
      </c>
      <c r="I18" s="35" t="s">
        <v>31</v>
      </c>
      <c r="J18" s="37">
        <v>45901</v>
      </c>
      <c r="K18" s="37">
        <v>45716</v>
      </c>
      <c r="L18" s="35" t="s">
        <v>24</v>
      </c>
      <c r="M18" s="38">
        <v>533000</v>
      </c>
      <c r="N18" s="9">
        <v>1</v>
      </c>
      <c r="O18" s="6">
        <v>533000</v>
      </c>
      <c r="P18" s="7"/>
    </row>
    <row r="19" spans="1:16">
      <c r="A19" s="7" t="s">
        <v>80</v>
      </c>
      <c r="B19" s="41" t="s">
        <v>80</v>
      </c>
      <c r="C19" s="34" t="s">
        <v>77</v>
      </c>
      <c r="D19" s="7" t="s">
        <v>78</v>
      </c>
      <c r="E19" s="7" t="s">
        <v>79</v>
      </c>
      <c r="F19" s="35" t="s">
        <v>21</v>
      </c>
      <c r="G19" s="35">
        <v>1552930201</v>
      </c>
      <c r="H19" s="36">
        <v>87002033</v>
      </c>
      <c r="I19" s="35" t="s">
        <v>23</v>
      </c>
      <c r="J19" s="37">
        <v>46023</v>
      </c>
      <c r="K19" s="37">
        <v>46387</v>
      </c>
      <c r="L19" s="35" t="s">
        <v>24</v>
      </c>
      <c r="M19" s="38">
        <v>1420000</v>
      </c>
      <c r="N19" s="8">
        <v>1</v>
      </c>
      <c r="O19" s="6">
        <f t="shared" ref="O19:O50" si="2">M19*N19</f>
        <v>1420000</v>
      </c>
      <c r="P19" s="7" t="s">
        <v>81</v>
      </c>
    </row>
    <row r="20" spans="1:16">
      <c r="A20" s="7" t="s">
        <v>82</v>
      </c>
      <c r="B20" s="33" t="s">
        <v>51</v>
      </c>
      <c r="C20" s="34" t="s">
        <v>52</v>
      </c>
      <c r="D20" s="7" t="s">
        <v>53</v>
      </c>
      <c r="E20" s="7" t="s">
        <v>83</v>
      </c>
      <c r="F20" s="35" t="s">
        <v>55</v>
      </c>
      <c r="G20" s="35" t="s">
        <v>84</v>
      </c>
      <c r="H20" s="36">
        <v>31318835</v>
      </c>
      <c r="I20" s="35" t="s">
        <v>23</v>
      </c>
      <c r="J20" s="37">
        <v>45931</v>
      </c>
      <c r="K20" s="37">
        <v>46326</v>
      </c>
      <c r="L20" s="35" t="s">
        <v>39</v>
      </c>
      <c r="M20" s="38">
        <v>6817.92</v>
      </c>
      <c r="N20" s="39">
        <v>1</v>
      </c>
      <c r="O20" s="6">
        <f t="shared" si="2"/>
        <v>6817.92</v>
      </c>
    </row>
    <row r="21" spans="1:16">
      <c r="A21" s="7" t="s">
        <v>85</v>
      </c>
      <c r="B21" s="33" t="s">
        <v>51</v>
      </c>
      <c r="C21" s="34" t="s">
        <v>52</v>
      </c>
      <c r="D21" s="7" t="s">
        <v>53</v>
      </c>
      <c r="E21" s="7" t="s">
        <v>83</v>
      </c>
      <c r="F21" s="35" t="s">
        <v>55</v>
      </c>
      <c r="G21" s="35" t="s">
        <v>86</v>
      </c>
      <c r="H21" s="36">
        <v>31318836</v>
      </c>
      <c r="I21" s="35" t="s">
        <v>23</v>
      </c>
      <c r="J21" s="37">
        <v>45931</v>
      </c>
      <c r="K21" s="37">
        <v>46326</v>
      </c>
      <c r="L21" s="35" t="s">
        <v>39</v>
      </c>
      <c r="M21" s="38">
        <v>4849.6000000000004</v>
      </c>
      <c r="N21" s="39">
        <v>1</v>
      </c>
      <c r="O21" s="6">
        <f t="shared" si="2"/>
        <v>4849.6000000000004</v>
      </c>
    </row>
    <row r="22" spans="1:16">
      <c r="A22" s="7" t="s">
        <v>87</v>
      </c>
      <c r="B22" s="33" t="s">
        <v>51</v>
      </c>
      <c r="C22" s="34" t="s">
        <v>52</v>
      </c>
      <c r="D22" s="7" t="s">
        <v>53</v>
      </c>
      <c r="E22" s="7" t="s">
        <v>83</v>
      </c>
      <c r="F22" s="35" t="s">
        <v>55</v>
      </c>
      <c r="G22" s="35" t="s">
        <v>88</v>
      </c>
      <c r="H22" s="36">
        <v>31318837</v>
      </c>
      <c r="I22" s="35" t="s">
        <v>23</v>
      </c>
      <c r="J22" s="37">
        <v>45931</v>
      </c>
      <c r="K22" s="37">
        <v>46326</v>
      </c>
      <c r="L22" s="35" t="s">
        <v>39</v>
      </c>
      <c r="M22" s="38">
        <v>4849.6000000000004</v>
      </c>
      <c r="N22" s="39">
        <v>1</v>
      </c>
      <c r="O22" s="6">
        <f t="shared" si="2"/>
        <v>4849.6000000000004</v>
      </c>
    </row>
    <row r="23" spans="1:16">
      <c r="A23" s="7" t="s">
        <v>89</v>
      </c>
      <c r="B23" s="33" t="s">
        <v>51</v>
      </c>
      <c r="C23" s="34" t="s">
        <v>52</v>
      </c>
      <c r="D23" s="7" t="s">
        <v>53</v>
      </c>
      <c r="E23" s="7" t="s">
        <v>83</v>
      </c>
      <c r="F23" s="35" t="s">
        <v>55</v>
      </c>
      <c r="G23" s="35" t="s">
        <v>90</v>
      </c>
      <c r="H23" s="36">
        <v>31318839</v>
      </c>
      <c r="I23" s="35" t="s">
        <v>23</v>
      </c>
      <c r="J23" s="37">
        <v>45931</v>
      </c>
      <c r="K23" s="37">
        <v>46326</v>
      </c>
      <c r="L23" s="35" t="s">
        <v>39</v>
      </c>
      <c r="M23" s="38">
        <v>9699.2000000000007</v>
      </c>
      <c r="N23" s="39">
        <v>1</v>
      </c>
      <c r="O23" s="6">
        <f t="shared" si="2"/>
        <v>9699.2000000000007</v>
      </c>
    </row>
    <row r="24" spans="1:16">
      <c r="A24" s="7" t="s">
        <v>91</v>
      </c>
      <c r="B24" s="33" t="s">
        <v>51</v>
      </c>
      <c r="C24" s="34" t="s">
        <v>52</v>
      </c>
      <c r="D24" s="7" t="s">
        <v>53</v>
      </c>
      <c r="E24" s="7" t="s">
        <v>83</v>
      </c>
      <c r="F24" s="35" t="s">
        <v>55</v>
      </c>
      <c r="G24" s="35" t="s">
        <v>92</v>
      </c>
      <c r="H24" s="36">
        <v>31318840</v>
      </c>
      <c r="I24" s="35" t="s">
        <v>23</v>
      </c>
      <c r="J24" s="37">
        <v>45931</v>
      </c>
      <c r="K24" s="37">
        <v>46326</v>
      </c>
      <c r="L24" s="35" t="s">
        <v>39</v>
      </c>
      <c r="M24" s="38">
        <v>14548.8</v>
      </c>
      <c r="N24" s="39">
        <v>1</v>
      </c>
      <c r="O24" s="6">
        <f t="shared" si="2"/>
        <v>14548.8</v>
      </c>
    </row>
    <row r="25" spans="1:16">
      <c r="A25" s="7" t="s">
        <v>93</v>
      </c>
      <c r="B25" s="33" t="s">
        <v>51</v>
      </c>
      <c r="C25" s="34" t="s">
        <v>52</v>
      </c>
      <c r="D25" s="7" t="s">
        <v>53</v>
      </c>
      <c r="E25" s="7" t="s">
        <v>83</v>
      </c>
      <c r="F25" s="35" t="s">
        <v>55</v>
      </c>
      <c r="G25" s="35" t="s">
        <v>94</v>
      </c>
      <c r="H25" s="36">
        <v>31318841</v>
      </c>
      <c r="I25" s="35" t="s">
        <v>23</v>
      </c>
      <c r="J25" s="37">
        <v>45931</v>
      </c>
      <c r="K25" s="37">
        <v>46326</v>
      </c>
      <c r="L25" s="35" t="s">
        <v>39</v>
      </c>
      <c r="M25" s="38">
        <v>9699.2000000000007</v>
      </c>
      <c r="N25" s="39">
        <v>1</v>
      </c>
      <c r="O25" s="6">
        <f t="shared" si="2"/>
        <v>9699.2000000000007</v>
      </c>
    </row>
    <row r="26" spans="1:16">
      <c r="A26" s="7" t="s">
        <v>95</v>
      </c>
      <c r="B26" s="33" t="s">
        <v>51</v>
      </c>
      <c r="C26" s="34" t="s">
        <v>52</v>
      </c>
      <c r="D26" s="7" t="s">
        <v>53</v>
      </c>
      <c r="E26" s="7" t="s">
        <v>83</v>
      </c>
      <c r="F26" s="35" t="s">
        <v>55</v>
      </c>
      <c r="G26" s="35" t="s">
        <v>96</v>
      </c>
      <c r="H26" s="36">
        <v>31318842</v>
      </c>
      <c r="I26" s="35" t="s">
        <v>23</v>
      </c>
      <c r="J26" s="37">
        <v>45931</v>
      </c>
      <c r="K26" s="37">
        <v>46326</v>
      </c>
      <c r="L26" s="35" t="s">
        <v>39</v>
      </c>
      <c r="M26" s="38">
        <v>29097.599999999999</v>
      </c>
      <c r="N26" s="39">
        <v>1</v>
      </c>
      <c r="O26" s="6">
        <f t="shared" si="2"/>
        <v>29097.599999999999</v>
      </c>
    </row>
    <row r="27" spans="1:16">
      <c r="A27" s="7" t="s">
        <v>97</v>
      </c>
      <c r="B27" s="33" t="s">
        <v>51</v>
      </c>
      <c r="C27" s="34" t="s">
        <v>52</v>
      </c>
      <c r="D27" s="7" t="s">
        <v>53</v>
      </c>
      <c r="E27" s="7" t="s">
        <v>83</v>
      </c>
      <c r="F27" s="35" t="s">
        <v>55</v>
      </c>
      <c r="G27" s="35" t="s">
        <v>98</v>
      </c>
      <c r="H27" s="36">
        <v>31318843</v>
      </c>
      <c r="I27" s="35" t="s">
        <v>23</v>
      </c>
      <c r="J27" s="37">
        <v>45931</v>
      </c>
      <c r="K27" s="37">
        <v>46326</v>
      </c>
      <c r="L27" s="35" t="s">
        <v>39</v>
      </c>
      <c r="M27" s="38">
        <v>16517.12</v>
      </c>
      <c r="N27" s="39">
        <v>1</v>
      </c>
      <c r="O27" s="6">
        <f t="shared" si="2"/>
        <v>16517.12</v>
      </c>
    </row>
    <row r="28" spans="1:16">
      <c r="A28" s="7" t="s">
        <v>99</v>
      </c>
      <c r="B28" s="33" t="s">
        <v>51</v>
      </c>
      <c r="C28" s="34" t="s">
        <v>52</v>
      </c>
      <c r="D28" s="7" t="s">
        <v>53</v>
      </c>
      <c r="E28" s="7" t="s">
        <v>83</v>
      </c>
      <c r="F28" s="35" t="s">
        <v>55</v>
      </c>
      <c r="G28" s="35" t="s">
        <v>100</v>
      </c>
      <c r="H28" s="36">
        <v>31318844</v>
      </c>
      <c r="I28" s="35" t="s">
        <v>23</v>
      </c>
      <c r="J28" s="37">
        <v>45931</v>
      </c>
      <c r="K28" s="37">
        <v>46326</v>
      </c>
      <c r="L28" s="35" t="s">
        <v>39</v>
      </c>
      <c r="M28" s="38">
        <v>4849.6000000000004</v>
      </c>
      <c r="N28" s="39">
        <v>1</v>
      </c>
      <c r="O28" s="6">
        <f t="shared" si="2"/>
        <v>4849.6000000000004</v>
      </c>
    </row>
    <row r="29" spans="1:16">
      <c r="A29" s="7" t="s">
        <v>101</v>
      </c>
      <c r="B29" s="33" t="s">
        <v>51</v>
      </c>
      <c r="C29" s="34" t="s">
        <v>52</v>
      </c>
      <c r="D29" s="7" t="s">
        <v>53</v>
      </c>
      <c r="E29" s="7" t="s">
        <v>83</v>
      </c>
      <c r="F29" s="35" t="s">
        <v>55</v>
      </c>
      <c r="G29" s="35" t="s">
        <v>102</v>
      </c>
      <c r="H29" s="36">
        <v>31318846</v>
      </c>
      <c r="I29" s="35" t="s">
        <v>23</v>
      </c>
      <c r="J29" s="37">
        <v>45931</v>
      </c>
      <c r="K29" s="37">
        <v>46326</v>
      </c>
      <c r="L29" s="35" t="s">
        <v>39</v>
      </c>
      <c r="M29" s="38">
        <v>9699.2000000000007</v>
      </c>
      <c r="N29" s="39">
        <v>1</v>
      </c>
      <c r="O29" s="6">
        <f t="shared" si="2"/>
        <v>9699.2000000000007</v>
      </c>
    </row>
    <row r="30" spans="1:16">
      <c r="A30" s="7" t="s">
        <v>103</v>
      </c>
      <c r="B30" s="33" t="s">
        <v>51</v>
      </c>
      <c r="C30" s="34" t="s">
        <v>52</v>
      </c>
      <c r="D30" s="7" t="s">
        <v>53</v>
      </c>
      <c r="E30" s="7" t="s">
        <v>83</v>
      </c>
      <c r="F30" s="35" t="s">
        <v>55</v>
      </c>
      <c r="G30" s="35" t="s">
        <v>104</v>
      </c>
      <c r="H30" s="36">
        <v>31318847</v>
      </c>
      <c r="I30" s="35" t="s">
        <v>23</v>
      </c>
      <c r="J30" s="37">
        <v>45931</v>
      </c>
      <c r="K30" s="37">
        <v>46326</v>
      </c>
      <c r="L30" s="35" t="s">
        <v>39</v>
      </c>
      <c r="M30" s="38">
        <v>9699.2000000000007</v>
      </c>
      <c r="N30" s="39">
        <v>1</v>
      </c>
      <c r="O30" s="6">
        <f t="shared" si="2"/>
        <v>9699.2000000000007</v>
      </c>
    </row>
    <row r="31" spans="1:16">
      <c r="A31" s="7" t="s">
        <v>105</v>
      </c>
      <c r="B31" s="33" t="s">
        <v>51</v>
      </c>
      <c r="C31" s="34" t="s">
        <v>52</v>
      </c>
      <c r="D31" s="7" t="s">
        <v>53</v>
      </c>
      <c r="E31" s="7" t="s">
        <v>83</v>
      </c>
      <c r="F31" s="35" t="s">
        <v>55</v>
      </c>
      <c r="G31" s="35" t="s">
        <v>106</v>
      </c>
      <c r="H31" s="36">
        <v>31318848</v>
      </c>
      <c r="I31" s="35" t="s">
        <v>23</v>
      </c>
      <c r="J31" s="37">
        <v>45931</v>
      </c>
      <c r="K31" s="37">
        <v>46326</v>
      </c>
      <c r="L31" s="35" t="s">
        <v>39</v>
      </c>
      <c r="M31" s="38">
        <v>9699.2000000000007</v>
      </c>
      <c r="N31" s="39">
        <v>1</v>
      </c>
      <c r="O31" s="6">
        <f t="shared" si="2"/>
        <v>9699.2000000000007</v>
      </c>
    </row>
    <row r="32" spans="1:16">
      <c r="A32" s="7" t="s">
        <v>107</v>
      </c>
      <c r="B32" s="33" t="s">
        <v>51</v>
      </c>
      <c r="C32" s="34" t="s">
        <v>52</v>
      </c>
      <c r="D32" s="7" t="s">
        <v>53</v>
      </c>
      <c r="E32" s="7" t="s">
        <v>83</v>
      </c>
      <c r="F32" s="35" t="s">
        <v>55</v>
      </c>
      <c r="G32" s="35" t="s">
        <v>108</v>
      </c>
      <c r="H32" s="36">
        <v>31318849</v>
      </c>
      <c r="I32" s="35" t="s">
        <v>23</v>
      </c>
      <c r="J32" s="37">
        <v>45931</v>
      </c>
      <c r="K32" s="37">
        <v>46326</v>
      </c>
      <c r="L32" s="35" t="s">
        <v>39</v>
      </c>
      <c r="M32" s="38">
        <v>22350.880000000001</v>
      </c>
      <c r="N32" s="39">
        <v>1</v>
      </c>
      <c r="O32" s="6">
        <f t="shared" si="2"/>
        <v>22350.880000000001</v>
      </c>
    </row>
    <row r="33" spans="1:16">
      <c r="A33" s="7" t="s">
        <v>109</v>
      </c>
      <c r="B33" s="33" t="s">
        <v>51</v>
      </c>
      <c r="C33" s="34" t="s">
        <v>52</v>
      </c>
      <c r="D33" s="7" t="s">
        <v>53</v>
      </c>
      <c r="E33" s="7" t="s">
        <v>83</v>
      </c>
      <c r="F33" s="35" t="s">
        <v>55</v>
      </c>
      <c r="G33" s="35" t="s">
        <v>110</v>
      </c>
      <c r="H33" s="36">
        <v>31318850</v>
      </c>
      <c r="I33" s="35" t="s">
        <v>23</v>
      </c>
      <c r="J33" s="37">
        <v>45931</v>
      </c>
      <c r="K33" s="37">
        <v>46326</v>
      </c>
      <c r="L33" s="35" t="s">
        <v>39</v>
      </c>
      <c r="M33" s="38">
        <v>4849.6000000000004</v>
      </c>
      <c r="N33" s="39">
        <v>1</v>
      </c>
      <c r="O33" s="6">
        <f t="shared" si="2"/>
        <v>4849.6000000000004</v>
      </c>
    </row>
    <row r="34" spans="1:16">
      <c r="A34" s="7" t="s">
        <v>111</v>
      </c>
      <c r="B34" s="33" t="s">
        <v>51</v>
      </c>
      <c r="C34" s="34" t="s">
        <v>52</v>
      </c>
      <c r="D34" s="7" t="s">
        <v>53</v>
      </c>
      <c r="E34" s="7" t="s">
        <v>83</v>
      </c>
      <c r="F34" s="35" t="s">
        <v>55</v>
      </c>
      <c r="G34" s="35" t="s">
        <v>112</v>
      </c>
      <c r="H34" s="36">
        <v>31318851</v>
      </c>
      <c r="I34" s="35" t="s">
        <v>23</v>
      </c>
      <c r="J34" s="37">
        <v>45931</v>
      </c>
      <c r="K34" s="37">
        <v>46326</v>
      </c>
      <c r="L34" s="35" t="s">
        <v>39</v>
      </c>
      <c r="M34" s="38">
        <v>23335.040000000001</v>
      </c>
      <c r="N34" s="39">
        <v>1</v>
      </c>
      <c r="O34" s="6">
        <f t="shared" si="2"/>
        <v>23335.040000000001</v>
      </c>
    </row>
    <row r="35" spans="1:16">
      <c r="A35" s="7" t="s">
        <v>113</v>
      </c>
      <c r="B35" s="33" t="s">
        <v>51</v>
      </c>
      <c r="C35" s="34" t="s">
        <v>52</v>
      </c>
      <c r="D35" s="7" t="s">
        <v>53</v>
      </c>
      <c r="E35" s="7" t="s">
        <v>83</v>
      </c>
      <c r="F35" s="35" t="s">
        <v>55</v>
      </c>
      <c r="G35" s="35" t="s">
        <v>114</v>
      </c>
      <c r="H35" s="36">
        <v>31318852</v>
      </c>
      <c r="I35" s="35" t="s">
        <v>23</v>
      </c>
      <c r="J35" s="37">
        <v>45931</v>
      </c>
      <c r="K35" s="37">
        <v>46326</v>
      </c>
      <c r="L35" s="35" t="s">
        <v>39</v>
      </c>
      <c r="M35" s="38">
        <v>19398.400000000001</v>
      </c>
      <c r="N35" s="39">
        <v>1</v>
      </c>
      <c r="O35" s="6">
        <f t="shared" si="2"/>
        <v>19398.400000000001</v>
      </c>
    </row>
    <row r="36" spans="1:16" ht="16">
      <c r="A36" s="45" t="s">
        <v>115</v>
      </c>
      <c r="B36" s="46" t="s">
        <v>115</v>
      </c>
      <c r="C36" s="34" t="s">
        <v>52</v>
      </c>
      <c r="D36" s="7" t="s">
        <v>18</v>
      </c>
      <c r="E36" s="7" t="s">
        <v>83</v>
      </c>
      <c r="F36" s="35" t="s">
        <v>55</v>
      </c>
      <c r="G36" s="35" t="s">
        <v>116</v>
      </c>
      <c r="H36" s="36" t="s">
        <v>117</v>
      </c>
      <c r="I36" s="35" t="s">
        <v>23</v>
      </c>
      <c r="J36" s="37">
        <v>45962</v>
      </c>
      <c r="K36" s="37">
        <v>46203</v>
      </c>
      <c r="L36" s="35" t="s">
        <v>60</v>
      </c>
      <c r="M36" s="38">
        <v>5239.4399999999996</v>
      </c>
      <c r="N36" s="8">
        <v>1</v>
      </c>
      <c r="O36" s="6">
        <f t="shared" si="2"/>
        <v>5239.4399999999996</v>
      </c>
    </row>
    <row r="37" spans="1:16">
      <c r="A37" s="7" t="s">
        <v>118</v>
      </c>
      <c r="B37" s="41" t="s">
        <v>118</v>
      </c>
      <c r="C37" s="34" t="s">
        <v>52</v>
      </c>
      <c r="D37" s="7" t="s">
        <v>18</v>
      </c>
      <c r="E37" s="10" t="s">
        <v>83</v>
      </c>
      <c r="F37" s="35" t="s">
        <v>55</v>
      </c>
      <c r="G37" s="35" t="s">
        <v>119</v>
      </c>
      <c r="H37" s="36">
        <v>31306768</v>
      </c>
      <c r="I37" s="35" t="s">
        <v>23</v>
      </c>
      <c r="J37" s="37">
        <v>45292</v>
      </c>
      <c r="K37" s="37">
        <v>46203</v>
      </c>
      <c r="L37" s="35" t="s">
        <v>120</v>
      </c>
      <c r="M37" s="38">
        <v>4413.2</v>
      </c>
      <c r="N37" s="8">
        <v>1</v>
      </c>
      <c r="O37" s="6">
        <f t="shared" si="2"/>
        <v>4413.2</v>
      </c>
      <c r="P37" s="7" t="s">
        <v>121</v>
      </c>
    </row>
    <row r="38" spans="1:16">
      <c r="A38" s="7" t="s">
        <v>122</v>
      </c>
      <c r="B38" s="41" t="s">
        <v>122</v>
      </c>
      <c r="C38" s="34" t="s">
        <v>52</v>
      </c>
      <c r="D38" s="7" t="s">
        <v>18</v>
      </c>
      <c r="E38" s="10" t="s">
        <v>83</v>
      </c>
      <c r="F38" s="35" t="s">
        <v>55</v>
      </c>
      <c r="G38" s="35" t="s">
        <v>123</v>
      </c>
      <c r="H38" s="36">
        <v>31306767</v>
      </c>
      <c r="I38" s="35" t="s">
        <v>23</v>
      </c>
      <c r="J38" s="37">
        <v>45292</v>
      </c>
      <c r="K38" s="37">
        <v>46203</v>
      </c>
      <c r="L38" s="35" t="s">
        <v>120</v>
      </c>
      <c r="M38" s="38">
        <v>3258.92</v>
      </c>
      <c r="N38" s="47">
        <v>1</v>
      </c>
      <c r="O38" s="6">
        <f t="shared" si="2"/>
        <v>3258.92</v>
      </c>
      <c r="P38" s="7" t="s">
        <v>124</v>
      </c>
    </row>
    <row r="39" spans="1:16">
      <c r="A39" s="7" t="s">
        <v>125</v>
      </c>
      <c r="B39" s="41" t="s">
        <v>125</v>
      </c>
      <c r="C39" s="34" t="s">
        <v>52</v>
      </c>
      <c r="D39" s="7" t="s">
        <v>126</v>
      </c>
      <c r="E39" s="7" t="s">
        <v>83</v>
      </c>
      <c r="F39" s="35" t="s">
        <v>55</v>
      </c>
      <c r="G39" s="35" t="s">
        <v>127</v>
      </c>
      <c r="H39" s="36">
        <v>31315447</v>
      </c>
      <c r="I39" s="35" t="s">
        <v>31</v>
      </c>
      <c r="J39" s="37">
        <v>45870</v>
      </c>
      <c r="K39" s="37">
        <v>46081</v>
      </c>
      <c r="L39" s="35" t="s">
        <v>39</v>
      </c>
      <c r="M39" s="38">
        <v>0</v>
      </c>
      <c r="N39" s="8">
        <v>1</v>
      </c>
      <c r="O39" s="6">
        <f t="shared" si="2"/>
        <v>0</v>
      </c>
    </row>
    <row r="40" spans="1:16">
      <c r="A40" s="7" t="s">
        <v>128</v>
      </c>
      <c r="B40" s="41" t="s">
        <v>128</v>
      </c>
      <c r="C40" s="34" t="s">
        <v>52</v>
      </c>
      <c r="D40" s="7" t="s">
        <v>129</v>
      </c>
      <c r="E40" s="7" t="s">
        <v>83</v>
      </c>
      <c r="F40" s="35" t="s">
        <v>55</v>
      </c>
      <c r="G40" s="35" t="s">
        <v>130</v>
      </c>
      <c r="H40" s="36">
        <v>31316085</v>
      </c>
      <c r="I40" s="35" t="s">
        <v>31</v>
      </c>
      <c r="J40" s="37">
        <v>45748</v>
      </c>
      <c r="K40" s="37">
        <v>46053</v>
      </c>
      <c r="L40" s="35" t="s">
        <v>39</v>
      </c>
      <c r="M40" s="38">
        <v>0</v>
      </c>
      <c r="N40" s="8">
        <v>1</v>
      </c>
      <c r="O40" s="6">
        <f t="shared" si="2"/>
        <v>0</v>
      </c>
    </row>
    <row r="41" spans="1:16">
      <c r="A41" s="7" t="s">
        <v>131</v>
      </c>
      <c r="B41" s="41" t="s">
        <v>132</v>
      </c>
      <c r="C41" s="34" t="s">
        <v>52</v>
      </c>
      <c r="D41" s="7" t="s">
        <v>126</v>
      </c>
      <c r="E41" s="7" t="s">
        <v>83</v>
      </c>
      <c r="F41" s="35" t="s">
        <v>55</v>
      </c>
      <c r="G41" s="35" t="s">
        <v>133</v>
      </c>
      <c r="H41" s="36">
        <v>31319983</v>
      </c>
      <c r="I41" s="35" t="s">
        <v>23</v>
      </c>
      <c r="J41" s="37">
        <v>46023</v>
      </c>
      <c r="K41" s="37">
        <v>46295</v>
      </c>
      <c r="L41" s="35" t="s">
        <v>39</v>
      </c>
      <c r="M41" s="38">
        <v>1858.4</v>
      </c>
      <c r="N41" s="8">
        <v>1</v>
      </c>
      <c r="O41" s="6">
        <f t="shared" si="2"/>
        <v>1858.4</v>
      </c>
    </row>
    <row r="42" spans="1:16">
      <c r="A42" s="7" t="s">
        <v>134</v>
      </c>
      <c r="B42" s="41" t="s">
        <v>132</v>
      </c>
      <c r="C42" s="34" t="s">
        <v>52</v>
      </c>
      <c r="D42" s="7" t="s">
        <v>126</v>
      </c>
      <c r="E42" s="7" t="s">
        <v>83</v>
      </c>
      <c r="F42" s="35" t="s">
        <v>55</v>
      </c>
      <c r="G42" s="35" t="s">
        <v>135</v>
      </c>
      <c r="H42" s="36">
        <v>31319986</v>
      </c>
      <c r="I42" s="35" t="s">
        <v>23</v>
      </c>
      <c r="J42" s="37">
        <v>46023</v>
      </c>
      <c r="K42" s="37">
        <v>46295</v>
      </c>
      <c r="L42" s="35" t="s">
        <v>39</v>
      </c>
      <c r="M42" s="38">
        <v>1858.4</v>
      </c>
      <c r="N42" s="8">
        <v>1</v>
      </c>
      <c r="O42" s="6">
        <f t="shared" si="2"/>
        <v>1858.4</v>
      </c>
    </row>
    <row r="43" spans="1:16">
      <c r="A43" s="7" t="s">
        <v>136</v>
      </c>
      <c r="B43" s="41" t="s">
        <v>132</v>
      </c>
      <c r="C43" s="34" t="s">
        <v>52</v>
      </c>
      <c r="D43" s="7" t="s">
        <v>126</v>
      </c>
      <c r="E43" s="7" t="s">
        <v>83</v>
      </c>
      <c r="F43" s="35" t="s">
        <v>55</v>
      </c>
      <c r="G43" s="35" t="s">
        <v>137</v>
      </c>
      <c r="H43" s="36">
        <v>31319987</v>
      </c>
      <c r="I43" s="35" t="s">
        <v>23</v>
      </c>
      <c r="J43" s="37">
        <v>46023</v>
      </c>
      <c r="K43" s="37">
        <v>46295</v>
      </c>
      <c r="L43" s="35" t="s">
        <v>39</v>
      </c>
      <c r="M43" s="38">
        <v>1858.4</v>
      </c>
      <c r="N43" s="8">
        <v>1</v>
      </c>
      <c r="O43" s="6">
        <f t="shared" si="2"/>
        <v>1858.4</v>
      </c>
    </row>
    <row r="44" spans="1:16">
      <c r="A44" s="7" t="s">
        <v>138</v>
      </c>
      <c r="B44" s="41" t="s">
        <v>132</v>
      </c>
      <c r="C44" s="34" t="s">
        <v>52</v>
      </c>
      <c r="D44" s="7" t="s">
        <v>126</v>
      </c>
      <c r="E44" s="7" t="s">
        <v>83</v>
      </c>
      <c r="F44" s="35" t="s">
        <v>55</v>
      </c>
      <c r="G44" s="35" t="s">
        <v>139</v>
      </c>
      <c r="H44" s="36">
        <v>31319988</v>
      </c>
      <c r="I44" s="35" t="s">
        <v>23</v>
      </c>
      <c r="J44" s="37">
        <v>46023</v>
      </c>
      <c r="K44" s="37">
        <v>46295</v>
      </c>
      <c r="L44" s="35" t="s">
        <v>39</v>
      </c>
      <c r="M44" s="38">
        <v>1858.4</v>
      </c>
      <c r="N44" s="8">
        <v>1</v>
      </c>
      <c r="O44" s="6">
        <f t="shared" si="2"/>
        <v>1858.4</v>
      </c>
    </row>
    <row r="45" spans="1:16">
      <c r="A45" s="7" t="s">
        <v>140</v>
      </c>
      <c r="B45" s="41" t="s">
        <v>132</v>
      </c>
      <c r="C45" s="34" t="s">
        <v>52</v>
      </c>
      <c r="D45" s="7" t="s">
        <v>126</v>
      </c>
      <c r="E45" s="7" t="s">
        <v>83</v>
      </c>
      <c r="F45" s="35" t="s">
        <v>55</v>
      </c>
      <c r="G45" s="35" t="s">
        <v>141</v>
      </c>
      <c r="H45" s="36">
        <v>31319989</v>
      </c>
      <c r="I45" s="35" t="s">
        <v>23</v>
      </c>
      <c r="J45" s="37">
        <v>46023</v>
      </c>
      <c r="K45" s="37">
        <v>46295</v>
      </c>
      <c r="L45" s="35" t="s">
        <v>39</v>
      </c>
      <c r="M45" s="38">
        <v>1858.4</v>
      </c>
      <c r="N45" s="8">
        <v>1</v>
      </c>
      <c r="O45" s="6">
        <f t="shared" si="2"/>
        <v>1858.4</v>
      </c>
    </row>
    <row r="46" spans="1:16">
      <c r="A46" s="7" t="s">
        <v>142</v>
      </c>
      <c r="B46" s="41" t="s">
        <v>132</v>
      </c>
      <c r="C46" s="34" t="s">
        <v>52</v>
      </c>
      <c r="D46" s="7" t="s">
        <v>126</v>
      </c>
      <c r="E46" s="7" t="s">
        <v>83</v>
      </c>
      <c r="F46" s="35" t="s">
        <v>55</v>
      </c>
      <c r="G46" s="35" t="s">
        <v>143</v>
      </c>
      <c r="H46" s="36">
        <v>31319990</v>
      </c>
      <c r="I46" s="35" t="s">
        <v>23</v>
      </c>
      <c r="J46" s="37">
        <v>46023</v>
      </c>
      <c r="K46" s="37">
        <v>46295</v>
      </c>
      <c r="L46" s="35" t="s">
        <v>39</v>
      </c>
      <c r="M46" s="38">
        <v>1858.4</v>
      </c>
      <c r="N46" s="8">
        <v>1</v>
      </c>
      <c r="O46" s="6">
        <f t="shared" si="2"/>
        <v>1858.4</v>
      </c>
    </row>
    <row r="47" spans="1:16">
      <c r="A47" s="7" t="s">
        <v>144</v>
      </c>
      <c r="B47" s="41" t="s">
        <v>132</v>
      </c>
      <c r="C47" s="34" t="s">
        <v>52</v>
      </c>
      <c r="D47" s="7" t="s">
        <v>126</v>
      </c>
      <c r="E47" s="7" t="s">
        <v>83</v>
      </c>
      <c r="F47" s="35" t="s">
        <v>55</v>
      </c>
      <c r="G47" s="35" t="s">
        <v>145</v>
      </c>
      <c r="H47" s="36">
        <v>31319991</v>
      </c>
      <c r="I47" s="35" t="s">
        <v>23</v>
      </c>
      <c r="J47" s="37">
        <v>46023</v>
      </c>
      <c r="K47" s="37">
        <v>46295</v>
      </c>
      <c r="L47" s="35" t="s">
        <v>39</v>
      </c>
      <c r="M47" s="38">
        <v>1858.4</v>
      </c>
      <c r="N47" s="8">
        <v>1</v>
      </c>
      <c r="O47" s="6">
        <f t="shared" si="2"/>
        <v>1858.4</v>
      </c>
    </row>
    <row r="48" spans="1:16">
      <c r="A48" s="7" t="s">
        <v>146</v>
      </c>
      <c r="B48" s="41" t="s">
        <v>132</v>
      </c>
      <c r="C48" s="34" t="s">
        <v>52</v>
      </c>
      <c r="D48" s="7" t="s">
        <v>126</v>
      </c>
      <c r="E48" s="7" t="s">
        <v>83</v>
      </c>
      <c r="F48" s="35" t="s">
        <v>55</v>
      </c>
      <c r="G48" s="35" t="s">
        <v>147</v>
      </c>
      <c r="H48" s="36">
        <v>31319992</v>
      </c>
      <c r="I48" s="35" t="s">
        <v>23</v>
      </c>
      <c r="J48" s="37">
        <v>46023</v>
      </c>
      <c r="K48" s="37">
        <v>46295</v>
      </c>
      <c r="L48" s="35" t="s">
        <v>39</v>
      </c>
      <c r="M48" s="38">
        <v>1858.4</v>
      </c>
      <c r="N48" s="8">
        <v>1</v>
      </c>
      <c r="O48" s="6">
        <f t="shared" si="2"/>
        <v>1858.4</v>
      </c>
    </row>
    <row r="49" spans="1:16" ht="16">
      <c r="A49" s="45" t="s">
        <v>148</v>
      </c>
      <c r="B49" s="46" t="s">
        <v>148</v>
      </c>
      <c r="C49" s="34" t="s">
        <v>52</v>
      </c>
      <c r="D49" s="7" t="s">
        <v>18</v>
      </c>
      <c r="E49" t="s">
        <v>149</v>
      </c>
      <c r="F49" s="35" t="s">
        <v>55</v>
      </c>
      <c r="G49" s="40" t="s">
        <v>150</v>
      </c>
      <c r="H49" s="36" t="s">
        <v>151</v>
      </c>
      <c r="I49" s="35" t="s">
        <v>23</v>
      </c>
      <c r="J49" s="42">
        <v>45962</v>
      </c>
      <c r="K49" s="42">
        <v>46387</v>
      </c>
      <c r="L49" s="35" t="s">
        <v>60</v>
      </c>
      <c r="M49" s="38">
        <v>117000</v>
      </c>
      <c r="N49" s="8">
        <v>1</v>
      </c>
      <c r="O49" s="6">
        <f t="shared" si="2"/>
        <v>117000</v>
      </c>
      <c r="P49" t="s">
        <v>152</v>
      </c>
    </row>
    <row r="50" spans="1:16">
      <c r="A50" s="7" t="s">
        <v>153</v>
      </c>
      <c r="B50" s="41" t="s">
        <v>154</v>
      </c>
      <c r="C50" s="34" t="s">
        <v>18</v>
      </c>
      <c r="D50" s="7" t="s">
        <v>78</v>
      </c>
      <c r="E50" s="7" t="s">
        <v>155</v>
      </c>
      <c r="F50" s="35" t="s">
        <v>21</v>
      </c>
      <c r="G50" s="35" t="s">
        <v>22</v>
      </c>
      <c r="H50" s="36">
        <v>87101423</v>
      </c>
      <c r="I50" s="35" t="s">
        <v>23</v>
      </c>
      <c r="J50" s="37">
        <v>46023</v>
      </c>
      <c r="K50" s="37">
        <v>46387</v>
      </c>
      <c r="L50" s="35" t="s">
        <v>35</v>
      </c>
      <c r="M50" s="38">
        <v>1002000</v>
      </c>
      <c r="N50" s="8">
        <v>1</v>
      </c>
      <c r="O50" s="6">
        <f t="shared" si="2"/>
        <v>1002000</v>
      </c>
      <c r="P50" s="7"/>
    </row>
    <row r="51" spans="1:16">
      <c r="A51" s="7" t="s">
        <v>156</v>
      </c>
      <c r="B51" s="41" t="s">
        <v>156</v>
      </c>
      <c r="C51" s="34" t="s">
        <v>18</v>
      </c>
      <c r="D51" s="7" t="s">
        <v>18</v>
      </c>
      <c r="E51" s="7" t="s">
        <v>155</v>
      </c>
      <c r="F51" s="35" t="s">
        <v>21</v>
      </c>
      <c r="G51" s="40" t="s">
        <v>22</v>
      </c>
      <c r="H51" s="36"/>
      <c r="I51" s="35" t="s">
        <v>157</v>
      </c>
      <c r="J51" s="37">
        <v>46023</v>
      </c>
      <c r="K51" s="37">
        <v>46387</v>
      </c>
      <c r="L51" s="35" t="s">
        <v>24</v>
      </c>
      <c r="M51" s="38">
        <v>0</v>
      </c>
      <c r="N51" s="8">
        <v>0.75</v>
      </c>
      <c r="O51" s="6">
        <f t="shared" ref="O51:O82" si="3">M51*N51</f>
        <v>0</v>
      </c>
      <c r="P51" t="s">
        <v>158</v>
      </c>
    </row>
    <row r="52" spans="1:16">
      <c r="A52" s="7" t="s">
        <v>159</v>
      </c>
      <c r="B52" s="41" t="s">
        <v>160</v>
      </c>
      <c r="C52" s="34" t="s">
        <v>18</v>
      </c>
      <c r="D52" s="7" t="s">
        <v>18</v>
      </c>
      <c r="E52" s="7" t="s">
        <v>155</v>
      </c>
      <c r="F52" s="35" t="s">
        <v>21</v>
      </c>
      <c r="G52" s="40" t="s">
        <v>22</v>
      </c>
      <c r="H52" s="36"/>
      <c r="I52" s="35" t="s">
        <v>23</v>
      </c>
      <c r="J52" s="37">
        <v>46023</v>
      </c>
      <c r="K52" s="37">
        <v>46387</v>
      </c>
      <c r="L52" s="35" t="s">
        <v>24</v>
      </c>
      <c r="M52" s="38">
        <v>0</v>
      </c>
      <c r="N52" s="8">
        <v>0.75</v>
      </c>
      <c r="O52" s="6">
        <f t="shared" si="3"/>
        <v>0</v>
      </c>
      <c r="P52" t="s">
        <v>158</v>
      </c>
    </row>
    <row r="53" spans="1:16">
      <c r="A53" t="s">
        <v>161</v>
      </c>
      <c r="B53" s="33" t="s">
        <v>162</v>
      </c>
      <c r="C53" s="34" t="s">
        <v>163</v>
      </c>
      <c r="D53" s="7" t="s">
        <v>129</v>
      </c>
      <c r="E53" t="s">
        <v>164</v>
      </c>
      <c r="F53" s="35" t="s">
        <v>21</v>
      </c>
      <c r="G53" s="40">
        <v>1293365124</v>
      </c>
      <c r="H53" s="40">
        <v>87002028</v>
      </c>
      <c r="I53" s="35" t="s">
        <v>23</v>
      </c>
      <c r="J53" s="37">
        <v>46023</v>
      </c>
      <c r="K53" s="42">
        <v>46234</v>
      </c>
      <c r="L53" s="35" t="s">
        <v>24</v>
      </c>
      <c r="M53" s="38">
        <v>130000</v>
      </c>
      <c r="N53" s="47">
        <v>1</v>
      </c>
      <c r="O53" s="6">
        <f t="shared" si="3"/>
        <v>130000</v>
      </c>
      <c r="P53" t="s">
        <v>165</v>
      </c>
    </row>
    <row r="54" spans="1:16">
      <c r="A54" t="s">
        <v>166</v>
      </c>
      <c r="B54" s="33" t="s">
        <v>166</v>
      </c>
      <c r="C54" s="34" t="s">
        <v>163</v>
      </c>
      <c r="D54" s="7" t="s">
        <v>53</v>
      </c>
      <c r="E54" s="7" t="s">
        <v>164</v>
      </c>
      <c r="F54" s="35" t="s">
        <v>55</v>
      </c>
      <c r="G54" s="40" t="s">
        <v>167</v>
      </c>
      <c r="H54" s="11">
        <v>31318231</v>
      </c>
      <c r="I54" s="35" t="s">
        <v>31</v>
      </c>
      <c r="J54" s="42">
        <v>45870</v>
      </c>
      <c r="K54" s="42">
        <v>46081</v>
      </c>
      <c r="L54" s="35" t="s">
        <v>60</v>
      </c>
      <c r="M54" s="38">
        <v>4453</v>
      </c>
      <c r="N54" s="39">
        <v>1</v>
      </c>
      <c r="O54" s="6">
        <f t="shared" si="3"/>
        <v>4453</v>
      </c>
    </row>
    <row r="55" spans="1:16">
      <c r="A55" t="s">
        <v>168</v>
      </c>
      <c r="B55" t="s">
        <v>168</v>
      </c>
      <c r="C55" s="34" t="s">
        <v>163</v>
      </c>
      <c r="D55" s="7" t="s">
        <v>129</v>
      </c>
      <c r="E55" t="s">
        <v>164</v>
      </c>
      <c r="F55" s="35" t="s">
        <v>21</v>
      </c>
      <c r="G55" s="40">
        <v>1069985937</v>
      </c>
      <c r="H55" s="40">
        <v>87101414</v>
      </c>
      <c r="I55" s="35" t="s">
        <v>23</v>
      </c>
      <c r="J55" s="42">
        <v>46062</v>
      </c>
      <c r="K55" s="42">
        <v>46356</v>
      </c>
      <c r="L55" s="35" t="s">
        <v>24</v>
      </c>
      <c r="M55" s="38">
        <v>238525</v>
      </c>
      <c r="N55" s="39">
        <v>1</v>
      </c>
      <c r="O55" s="6">
        <f t="shared" si="3"/>
        <v>238525</v>
      </c>
      <c r="P55" t="s">
        <v>169</v>
      </c>
    </row>
    <row r="56" spans="1:16">
      <c r="A56" t="s">
        <v>170</v>
      </c>
      <c r="B56" s="33" t="s">
        <v>171</v>
      </c>
      <c r="C56" s="34" t="s">
        <v>163</v>
      </c>
      <c r="D56" s="7" t="s">
        <v>78</v>
      </c>
      <c r="E56" t="s">
        <v>172</v>
      </c>
      <c r="F56" s="35" t="s">
        <v>21</v>
      </c>
      <c r="G56" s="35" t="s">
        <v>22</v>
      </c>
      <c r="H56" s="36">
        <v>87101388</v>
      </c>
      <c r="I56" s="35" t="s">
        <v>23</v>
      </c>
      <c r="J56" s="42">
        <v>45962</v>
      </c>
      <c r="K56" s="42">
        <v>46203</v>
      </c>
      <c r="L56" s="35" t="s">
        <v>24</v>
      </c>
      <c r="M56" s="38">
        <v>60000</v>
      </c>
      <c r="N56" s="47">
        <v>1</v>
      </c>
      <c r="O56" s="6">
        <f t="shared" si="3"/>
        <v>60000</v>
      </c>
    </row>
    <row r="57" spans="1:16">
      <c r="A57" t="s">
        <v>173</v>
      </c>
      <c r="B57" t="s">
        <v>799</v>
      </c>
      <c r="C57" s="34" t="s">
        <v>163</v>
      </c>
      <c r="D57" s="7" t="s">
        <v>129</v>
      </c>
      <c r="E57" t="s">
        <v>172</v>
      </c>
      <c r="F57" s="35" t="s">
        <v>21</v>
      </c>
      <c r="G57" s="40" t="s">
        <v>22</v>
      </c>
      <c r="H57" s="40">
        <v>87001903</v>
      </c>
      <c r="I57" s="35" t="s">
        <v>157</v>
      </c>
      <c r="J57" s="42">
        <v>45363</v>
      </c>
      <c r="K57" s="42">
        <v>46203</v>
      </c>
      <c r="L57" s="35" t="s">
        <v>24</v>
      </c>
      <c r="M57" s="38">
        <v>11466</v>
      </c>
      <c r="N57" s="39">
        <v>0.2</v>
      </c>
      <c r="O57" s="6">
        <f t="shared" si="3"/>
        <v>2293.2000000000003</v>
      </c>
      <c r="P57" t="s">
        <v>174</v>
      </c>
    </row>
    <row r="58" spans="1:16">
      <c r="A58" t="s">
        <v>175</v>
      </c>
      <c r="B58" t="s">
        <v>175</v>
      </c>
      <c r="C58" s="34" t="s">
        <v>163</v>
      </c>
      <c r="D58" t="s">
        <v>53</v>
      </c>
      <c r="E58" t="s">
        <v>172</v>
      </c>
      <c r="F58" s="35" t="s">
        <v>21</v>
      </c>
      <c r="G58" s="40" t="s">
        <v>22</v>
      </c>
      <c r="H58" s="40">
        <v>89101329</v>
      </c>
      <c r="I58" s="35" t="s">
        <v>23</v>
      </c>
      <c r="J58" s="42">
        <v>46043</v>
      </c>
      <c r="K58" s="42">
        <v>46326</v>
      </c>
      <c r="L58" s="35" t="s">
        <v>24</v>
      </c>
      <c r="M58" s="38">
        <v>251000</v>
      </c>
      <c r="N58" s="39">
        <v>1</v>
      </c>
      <c r="O58" s="6">
        <f t="shared" si="3"/>
        <v>251000</v>
      </c>
      <c r="P58" t="s">
        <v>176</v>
      </c>
    </row>
    <row r="59" spans="1:16">
      <c r="A59" t="s">
        <v>177</v>
      </c>
      <c r="B59" t="s">
        <v>177</v>
      </c>
      <c r="C59" s="34" t="s">
        <v>163</v>
      </c>
      <c r="D59" t="s">
        <v>129</v>
      </c>
      <c r="E59" t="s">
        <v>172</v>
      </c>
      <c r="F59" s="35" t="s">
        <v>21</v>
      </c>
      <c r="G59" s="35" t="s">
        <v>22</v>
      </c>
      <c r="H59" s="40" t="s">
        <v>178</v>
      </c>
      <c r="I59" s="35" t="s">
        <v>23</v>
      </c>
      <c r="J59" s="42">
        <v>46023</v>
      </c>
      <c r="K59" s="42">
        <v>46387</v>
      </c>
      <c r="L59" s="35" t="s">
        <v>24</v>
      </c>
      <c r="M59" s="38">
        <v>13599.16</v>
      </c>
      <c r="N59" s="39">
        <v>1</v>
      </c>
      <c r="O59" s="6">
        <f t="shared" si="3"/>
        <v>13599.16</v>
      </c>
      <c r="P59" t="s">
        <v>179</v>
      </c>
    </row>
    <row r="60" spans="1:16">
      <c r="A60" s="7" t="s">
        <v>180</v>
      </c>
      <c r="B60" s="33" t="s">
        <v>181</v>
      </c>
      <c r="C60" s="34" t="s">
        <v>163</v>
      </c>
      <c r="D60" s="7" t="s">
        <v>53</v>
      </c>
      <c r="E60" s="7" t="s">
        <v>182</v>
      </c>
      <c r="F60" s="35" t="s">
        <v>55</v>
      </c>
      <c r="G60" s="40" t="s">
        <v>183</v>
      </c>
      <c r="H60" s="36">
        <v>31316268</v>
      </c>
      <c r="I60" s="35" t="s">
        <v>23</v>
      </c>
      <c r="J60" s="37">
        <v>45777</v>
      </c>
      <c r="K60" s="42">
        <v>46477</v>
      </c>
      <c r="L60" s="35" t="s">
        <v>39</v>
      </c>
      <c r="M60" s="38">
        <v>14325</v>
      </c>
      <c r="N60" s="39">
        <v>1</v>
      </c>
      <c r="O60" s="6">
        <f t="shared" si="3"/>
        <v>14325</v>
      </c>
    </row>
    <row r="61" spans="1:16">
      <c r="A61" s="7" t="s">
        <v>184</v>
      </c>
      <c r="B61" s="33" t="s">
        <v>181</v>
      </c>
      <c r="C61" s="34" t="s">
        <v>163</v>
      </c>
      <c r="D61" s="7" t="s">
        <v>53</v>
      </c>
      <c r="E61" s="7" t="s">
        <v>182</v>
      </c>
      <c r="F61" s="35" t="s">
        <v>55</v>
      </c>
      <c r="G61" s="40" t="s">
        <v>185</v>
      </c>
      <c r="H61" s="36">
        <v>31312933</v>
      </c>
      <c r="I61" s="35" t="s">
        <v>23</v>
      </c>
      <c r="J61" s="37">
        <v>45777</v>
      </c>
      <c r="K61" s="42">
        <v>46112</v>
      </c>
      <c r="L61" s="35" t="s">
        <v>120</v>
      </c>
      <c r="M61" s="38">
        <v>1863.54</v>
      </c>
      <c r="N61" s="39">
        <v>1</v>
      </c>
      <c r="O61" s="6">
        <f t="shared" si="3"/>
        <v>1863.54</v>
      </c>
    </row>
    <row r="62" spans="1:16">
      <c r="A62" s="7" t="s">
        <v>186</v>
      </c>
      <c r="B62" s="33" t="s">
        <v>181</v>
      </c>
      <c r="C62" s="34" t="s">
        <v>163</v>
      </c>
      <c r="D62" s="7" t="s">
        <v>53</v>
      </c>
      <c r="E62" s="7" t="s">
        <v>182</v>
      </c>
      <c r="F62" s="35" t="s">
        <v>55</v>
      </c>
      <c r="G62" s="40" t="s">
        <v>187</v>
      </c>
      <c r="H62" s="36">
        <v>31313654</v>
      </c>
      <c r="I62" s="35" t="s">
        <v>23</v>
      </c>
      <c r="J62" s="37">
        <v>45777</v>
      </c>
      <c r="K62" s="42">
        <v>46112</v>
      </c>
      <c r="L62" s="35" t="s">
        <v>60</v>
      </c>
      <c r="M62" s="38">
        <v>8195</v>
      </c>
      <c r="N62" s="39">
        <v>1</v>
      </c>
      <c r="O62" s="6">
        <f t="shared" si="3"/>
        <v>8195</v>
      </c>
    </row>
    <row r="63" spans="1:16" ht="16">
      <c r="A63" s="7" t="s">
        <v>188</v>
      </c>
      <c r="B63" s="33" t="s">
        <v>181</v>
      </c>
      <c r="C63" s="34" t="s">
        <v>163</v>
      </c>
      <c r="D63" s="7" t="s">
        <v>53</v>
      </c>
      <c r="E63" s="7" t="s">
        <v>182</v>
      </c>
      <c r="F63" s="35" t="s">
        <v>55</v>
      </c>
      <c r="G63" s="40" t="s">
        <v>189</v>
      </c>
      <c r="H63" s="36" t="s">
        <v>190</v>
      </c>
      <c r="I63" s="35" t="s">
        <v>23</v>
      </c>
      <c r="J63" s="37">
        <v>45777</v>
      </c>
      <c r="K63" s="42">
        <v>46112</v>
      </c>
      <c r="L63" s="35" t="s">
        <v>191</v>
      </c>
      <c r="M63" s="38">
        <v>2707</v>
      </c>
      <c r="N63" s="39">
        <v>1</v>
      </c>
      <c r="O63" s="6">
        <f t="shared" si="3"/>
        <v>2707</v>
      </c>
    </row>
    <row r="64" spans="1:16">
      <c r="A64" s="7" t="s">
        <v>192</v>
      </c>
      <c r="B64" s="33" t="s">
        <v>181</v>
      </c>
      <c r="C64" s="34" t="s">
        <v>163</v>
      </c>
      <c r="D64" s="7" t="s">
        <v>53</v>
      </c>
      <c r="E64" s="7" t="s">
        <v>182</v>
      </c>
      <c r="F64" s="35" t="s">
        <v>55</v>
      </c>
      <c r="G64" s="40" t="s">
        <v>193</v>
      </c>
      <c r="H64" s="36">
        <v>31315135</v>
      </c>
      <c r="I64" s="35" t="s">
        <v>23</v>
      </c>
      <c r="J64" s="37">
        <v>45777</v>
      </c>
      <c r="K64" s="42">
        <v>46112</v>
      </c>
      <c r="L64" s="35" t="s">
        <v>194</v>
      </c>
      <c r="M64" s="38">
        <v>4172</v>
      </c>
      <c r="N64" s="39">
        <v>1</v>
      </c>
      <c r="O64" s="6">
        <f t="shared" si="3"/>
        <v>4172</v>
      </c>
    </row>
    <row r="65" spans="1:16">
      <c r="A65" t="s">
        <v>195</v>
      </c>
      <c r="B65" s="33" t="s">
        <v>195</v>
      </c>
      <c r="C65" s="34" t="s">
        <v>163</v>
      </c>
      <c r="D65" s="7" t="s">
        <v>129</v>
      </c>
      <c r="E65" t="s">
        <v>196</v>
      </c>
      <c r="F65" s="35" t="s">
        <v>21</v>
      </c>
      <c r="G65" s="35" t="s">
        <v>22</v>
      </c>
      <c r="H65" s="40">
        <v>87002011</v>
      </c>
      <c r="I65" s="35" t="s">
        <v>31</v>
      </c>
      <c r="J65" s="42">
        <v>45985</v>
      </c>
      <c r="K65" s="42">
        <v>46081</v>
      </c>
      <c r="L65" s="35" t="s">
        <v>24</v>
      </c>
      <c r="M65" s="38">
        <v>24830</v>
      </c>
      <c r="N65" s="47">
        <v>1</v>
      </c>
      <c r="O65" s="6">
        <f t="shared" si="3"/>
        <v>24830</v>
      </c>
    </row>
    <row r="66" spans="1:16">
      <c r="A66" t="s">
        <v>197</v>
      </c>
      <c r="B66" t="s">
        <v>198</v>
      </c>
      <c r="C66" s="34" t="s">
        <v>163</v>
      </c>
      <c r="D66" t="s">
        <v>129</v>
      </c>
      <c r="E66" t="s">
        <v>196</v>
      </c>
      <c r="F66" s="35" t="s">
        <v>21</v>
      </c>
      <c r="G66" s="35" t="s">
        <v>22</v>
      </c>
      <c r="H66" s="40">
        <v>89101198</v>
      </c>
      <c r="I66" s="35" t="s">
        <v>23</v>
      </c>
      <c r="J66" s="42">
        <v>46023</v>
      </c>
      <c r="K66" s="42">
        <v>46387</v>
      </c>
      <c r="L66" s="35" t="s">
        <v>24</v>
      </c>
      <c r="M66" s="38">
        <v>0</v>
      </c>
      <c r="N66" s="39">
        <v>1</v>
      </c>
      <c r="O66" s="6">
        <f t="shared" si="3"/>
        <v>0</v>
      </c>
      <c r="P66" t="s">
        <v>199</v>
      </c>
    </row>
    <row r="67" spans="1:16">
      <c r="A67" s="32" t="s">
        <v>200</v>
      </c>
      <c r="B67" s="33" t="s">
        <v>200</v>
      </c>
      <c r="C67" s="34" t="s">
        <v>18</v>
      </c>
      <c r="D67" s="7" t="s">
        <v>18</v>
      </c>
      <c r="E67" s="7" t="s">
        <v>201</v>
      </c>
      <c r="F67" s="35" t="s">
        <v>55</v>
      </c>
      <c r="G67" s="35" t="s">
        <v>202</v>
      </c>
      <c r="H67" s="36">
        <v>31318622</v>
      </c>
      <c r="I67" s="35" t="s">
        <v>31</v>
      </c>
      <c r="J67" s="37">
        <v>45931</v>
      </c>
      <c r="K67" s="37">
        <v>46418</v>
      </c>
      <c r="L67" s="35" t="s">
        <v>39</v>
      </c>
      <c r="M67" s="38">
        <v>28932.32</v>
      </c>
      <c r="N67" s="39">
        <v>1</v>
      </c>
      <c r="O67" s="6">
        <f t="shared" si="3"/>
        <v>28932.32</v>
      </c>
    </row>
    <row r="68" spans="1:16" ht="16">
      <c r="A68" t="s">
        <v>203</v>
      </c>
      <c r="B68" s="33" t="s">
        <v>203</v>
      </c>
      <c r="C68" s="34" t="s">
        <v>18</v>
      </c>
      <c r="D68" s="7" t="s">
        <v>18</v>
      </c>
      <c r="E68" s="7" t="s">
        <v>201</v>
      </c>
      <c r="F68" s="35" t="s">
        <v>55</v>
      </c>
      <c r="G68" s="35" t="s">
        <v>22</v>
      </c>
      <c r="H68" s="36" t="s">
        <v>35</v>
      </c>
      <c r="I68" s="35" t="s">
        <v>23</v>
      </c>
      <c r="J68" s="37">
        <v>46023</v>
      </c>
      <c r="K68" s="37">
        <v>46387</v>
      </c>
      <c r="L68" s="35" t="s">
        <v>35</v>
      </c>
      <c r="M68" s="38">
        <v>500000</v>
      </c>
      <c r="N68" s="47">
        <v>1</v>
      </c>
      <c r="O68" s="6">
        <f t="shared" si="3"/>
        <v>500000</v>
      </c>
    </row>
    <row r="69" spans="1:16">
      <c r="A69" t="s">
        <v>204</v>
      </c>
      <c r="B69" t="s">
        <v>204</v>
      </c>
      <c r="C69" s="34" t="s">
        <v>18</v>
      </c>
      <c r="D69" s="7" t="s">
        <v>18</v>
      </c>
      <c r="E69" t="s">
        <v>201</v>
      </c>
      <c r="F69" s="35" t="s">
        <v>55</v>
      </c>
      <c r="G69" s="40" t="s">
        <v>205</v>
      </c>
      <c r="H69" s="40">
        <v>31313327</v>
      </c>
      <c r="I69" s="35" t="s">
        <v>23</v>
      </c>
      <c r="J69" s="37">
        <v>46023</v>
      </c>
      <c r="K69" s="37">
        <v>46387</v>
      </c>
      <c r="L69" s="35" t="s">
        <v>60</v>
      </c>
      <c r="M69" s="38">
        <v>97572.800000000003</v>
      </c>
      <c r="N69" s="39">
        <v>1</v>
      </c>
      <c r="O69" s="6">
        <f t="shared" si="3"/>
        <v>97572.800000000003</v>
      </c>
      <c r="P69" t="s">
        <v>206</v>
      </c>
    </row>
    <row r="70" spans="1:16">
      <c r="A70" s="7" t="s">
        <v>207</v>
      </c>
      <c r="B70" s="41" t="s">
        <v>207</v>
      </c>
      <c r="C70" s="34" t="s">
        <v>18</v>
      </c>
      <c r="D70" s="7" t="s">
        <v>18</v>
      </c>
      <c r="E70" s="7" t="s">
        <v>208</v>
      </c>
      <c r="F70" s="35" t="s">
        <v>21</v>
      </c>
      <c r="G70" s="35" t="s">
        <v>22</v>
      </c>
      <c r="H70" s="40">
        <v>89100816</v>
      </c>
      <c r="I70" s="35" t="s">
        <v>23</v>
      </c>
      <c r="J70" s="37">
        <v>46054</v>
      </c>
      <c r="K70" s="37">
        <v>46203</v>
      </c>
      <c r="L70" s="35" t="s">
        <v>24</v>
      </c>
      <c r="M70" s="38">
        <v>0</v>
      </c>
      <c r="N70" s="47">
        <v>0.25</v>
      </c>
      <c r="O70" s="6">
        <f t="shared" si="3"/>
        <v>0</v>
      </c>
    </row>
    <row r="71" spans="1:16">
      <c r="A71" s="7" t="s">
        <v>209</v>
      </c>
      <c r="B71" s="41" t="s">
        <v>210</v>
      </c>
      <c r="C71" s="34" t="s">
        <v>18</v>
      </c>
      <c r="D71" s="7" t="s">
        <v>19</v>
      </c>
      <c r="E71" s="7" t="s">
        <v>208</v>
      </c>
      <c r="F71" s="35" t="s">
        <v>21</v>
      </c>
      <c r="G71" s="35" t="s">
        <v>22</v>
      </c>
      <c r="H71" s="36">
        <v>87001963</v>
      </c>
      <c r="I71" s="35" t="s">
        <v>31</v>
      </c>
      <c r="J71" s="37">
        <v>45748</v>
      </c>
      <c r="K71" s="37">
        <v>46053</v>
      </c>
      <c r="L71" s="35" t="s">
        <v>24</v>
      </c>
      <c r="M71" s="38">
        <v>1000</v>
      </c>
      <c r="N71" s="47">
        <v>1</v>
      </c>
      <c r="O71" s="6">
        <f t="shared" si="3"/>
        <v>1000</v>
      </c>
    </row>
    <row r="72" spans="1:16">
      <c r="A72" t="s">
        <v>211</v>
      </c>
      <c r="B72" s="33" t="s">
        <v>212</v>
      </c>
      <c r="C72" s="34" t="s">
        <v>18</v>
      </c>
      <c r="D72" s="7" t="s">
        <v>18</v>
      </c>
      <c r="E72" s="7" t="s">
        <v>208</v>
      </c>
      <c r="F72" s="35" t="s">
        <v>21</v>
      </c>
      <c r="G72" s="40" t="s">
        <v>22</v>
      </c>
      <c r="H72" s="43" t="s">
        <v>213</v>
      </c>
      <c r="I72" s="35" t="s">
        <v>23</v>
      </c>
      <c r="J72" s="37">
        <v>46054</v>
      </c>
      <c r="K72" s="37">
        <v>46387</v>
      </c>
      <c r="L72" s="35" t="s">
        <v>35</v>
      </c>
      <c r="M72" s="38">
        <v>0</v>
      </c>
      <c r="N72" s="47">
        <v>0.9</v>
      </c>
      <c r="O72" s="6">
        <f t="shared" si="3"/>
        <v>0</v>
      </c>
      <c r="P72" s="21"/>
    </row>
    <row r="73" spans="1:16">
      <c r="A73" t="s">
        <v>214</v>
      </c>
      <c r="B73" s="33" t="s">
        <v>214</v>
      </c>
      <c r="C73" s="34" t="s">
        <v>18</v>
      </c>
      <c r="D73" s="7" t="s">
        <v>18</v>
      </c>
      <c r="E73" s="7" t="s">
        <v>208</v>
      </c>
      <c r="F73" s="35" t="s">
        <v>21</v>
      </c>
      <c r="G73" s="40" t="s">
        <v>22</v>
      </c>
      <c r="H73" s="36">
        <v>89101295</v>
      </c>
      <c r="I73" s="35" t="s">
        <v>23</v>
      </c>
      <c r="J73" s="37">
        <v>46054</v>
      </c>
      <c r="K73" s="37">
        <v>46387</v>
      </c>
      <c r="L73" s="35" t="s">
        <v>35</v>
      </c>
      <c r="M73" s="38">
        <v>0</v>
      </c>
      <c r="N73" s="47">
        <v>0.9</v>
      </c>
      <c r="O73" s="6">
        <f t="shared" si="3"/>
        <v>0</v>
      </c>
    </row>
    <row r="74" spans="1:16">
      <c r="A74" t="s">
        <v>215</v>
      </c>
      <c r="B74" s="33" t="s">
        <v>216</v>
      </c>
      <c r="C74" s="34" t="s">
        <v>163</v>
      </c>
      <c r="D74" s="7" t="s">
        <v>78</v>
      </c>
      <c r="E74" s="7" t="s">
        <v>217</v>
      </c>
      <c r="F74" s="35" t="s">
        <v>21</v>
      </c>
      <c r="G74" s="40">
        <v>1053281811</v>
      </c>
      <c r="H74" s="36">
        <v>87101401</v>
      </c>
      <c r="I74" s="35" t="s">
        <v>157</v>
      </c>
      <c r="J74" s="37">
        <v>46023</v>
      </c>
      <c r="K74" s="37">
        <v>46387</v>
      </c>
      <c r="L74" s="35" t="s">
        <v>24</v>
      </c>
      <c r="M74" s="38">
        <v>687000</v>
      </c>
      <c r="N74" s="8">
        <v>1</v>
      </c>
      <c r="O74" s="6">
        <f t="shared" si="3"/>
        <v>687000</v>
      </c>
      <c r="P74" t="s">
        <v>218</v>
      </c>
    </row>
    <row r="75" spans="1:16">
      <c r="A75" t="s">
        <v>219</v>
      </c>
      <c r="B75" s="33" t="s">
        <v>219</v>
      </c>
      <c r="C75" s="34" t="s">
        <v>163</v>
      </c>
      <c r="D75" s="7" t="s">
        <v>53</v>
      </c>
      <c r="E75" t="s">
        <v>217</v>
      </c>
      <c r="F75" s="35" t="s">
        <v>21</v>
      </c>
      <c r="G75" s="40" t="s">
        <v>22</v>
      </c>
      <c r="H75" s="36"/>
      <c r="I75" s="35" t="s">
        <v>157</v>
      </c>
      <c r="J75" s="42">
        <v>46054</v>
      </c>
      <c r="K75" s="42">
        <v>46660</v>
      </c>
      <c r="L75" s="35" t="s">
        <v>24</v>
      </c>
      <c r="M75" s="38">
        <v>0</v>
      </c>
      <c r="N75" s="47">
        <v>0</v>
      </c>
      <c r="O75" s="6">
        <f t="shared" si="3"/>
        <v>0</v>
      </c>
      <c r="P75" t="s">
        <v>220</v>
      </c>
    </row>
    <row r="76" spans="1:16">
      <c r="A76" s="7" t="s">
        <v>221</v>
      </c>
      <c r="B76" s="33" t="s">
        <v>222</v>
      </c>
      <c r="C76" s="34" t="s">
        <v>163</v>
      </c>
      <c r="D76" s="7" t="s">
        <v>53</v>
      </c>
      <c r="E76" s="7" t="s">
        <v>223</v>
      </c>
      <c r="F76" s="35" t="s">
        <v>55</v>
      </c>
      <c r="G76" s="35" t="s">
        <v>224</v>
      </c>
      <c r="H76" s="36">
        <v>31319329</v>
      </c>
      <c r="I76" s="35" t="s">
        <v>23</v>
      </c>
      <c r="J76" s="37">
        <v>45901</v>
      </c>
      <c r="K76" s="37">
        <v>46387</v>
      </c>
      <c r="L76" s="35" t="s">
        <v>39</v>
      </c>
      <c r="M76" s="38">
        <v>86779.4</v>
      </c>
      <c r="N76" s="8">
        <v>1</v>
      </c>
      <c r="O76" s="6">
        <f t="shared" si="3"/>
        <v>86779.4</v>
      </c>
      <c r="P76" s="7"/>
    </row>
    <row r="77" spans="1:16">
      <c r="A77" s="7" t="s">
        <v>225</v>
      </c>
      <c r="B77" s="33" t="s">
        <v>225</v>
      </c>
      <c r="C77" s="34" t="s">
        <v>163</v>
      </c>
      <c r="D77" s="7" t="s">
        <v>53</v>
      </c>
      <c r="E77" s="7" t="s">
        <v>223</v>
      </c>
      <c r="F77" s="35" t="s">
        <v>55</v>
      </c>
      <c r="G77" s="35" t="s">
        <v>226</v>
      </c>
      <c r="H77" s="36">
        <v>31319332</v>
      </c>
      <c r="I77" s="35" t="s">
        <v>23</v>
      </c>
      <c r="J77" s="37">
        <v>46023</v>
      </c>
      <c r="K77" s="37">
        <v>46387</v>
      </c>
      <c r="L77" s="35" t="s">
        <v>39</v>
      </c>
      <c r="M77" s="38">
        <v>321571.20000000001</v>
      </c>
      <c r="N77" s="8">
        <v>1</v>
      </c>
      <c r="O77" s="6">
        <f t="shared" si="3"/>
        <v>321571.20000000001</v>
      </c>
      <c r="P77" s="7" t="s">
        <v>227</v>
      </c>
    </row>
    <row r="78" spans="1:16">
      <c r="A78" s="7" t="s">
        <v>228</v>
      </c>
      <c r="B78" s="87" t="s">
        <v>229</v>
      </c>
      <c r="C78" s="34" t="s">
        <v>163</v>
      </c>
      <c r="D78" s="7" t="s">
        <v>53</v>
      </c>
      <c r="E78" s="7" t="s">
        <v>230</v>
      </c>
      <c r="F78" s="35" t="s">
        <v>55</v>
      </c>
      <c r="G78" s="35" t="s">
        <v>231</v>
      </c>
      <c r="H78" s="36">
        <v>31321369</v>
      </c>
      <c r="I78" s="35" t="s">
        <v>23</v>
      </c>
      <c r="J78" s="37">
        <v>46082</v>
      </c>
      <c r="K78" s="37">
        <v>46265</v>
      </c>
      <c r="L78" s="35" t="s">
        <v>191</v>
      </c>
      <c r="M78" s="38">
        <v>37161</v>
      </c>
      <c r="N78" s="8">
        <v>1</v>
      </c>
      <c r="O78" s="6">
        <f t="shared" si="3"/>
        <v>37161</v>
      </c>
      <c r="P78" s="7"/>
    </row>
    <row r="79" spans="1:16">
      <c r="A79" s="7" t="s">
        <v>232</v>
      </c>
      <c r="B79" s="87" t="s">
        <v>229</v>
      </c>
      <c r="C79" s="34" t="s">
        <v>163</v>
      </c>
      <c r="D79" s="7" t="s">
        <v>53</v>
      </c>
      <c r="E79" s="7" t="s">
        <v>230</v>
      </c>
      <c r="F79" s="35" t="s">
        <v>55</v>
      </c>
      <c r="G79" s="35" t="s">
        <v>233</v>
      </c>
      <c r="H79" s="36">
        <v>31321694</v>
      </c>
      <c r="I79" s="35" t="s">
        <v>23</v>
      </c>
      <c r="J79" s="37">
        <v>46082</v>
      </c>
      <c r="K79" s="37">
        <v>46265</v>
      </c>
      <c r="L79" s="35" t="s">
        <v>191</v>
      </c>
      <c r="M79" s="38">
        <v>12387</v>
      </c>
      <c r="N79" s="8">
        <v>1</v>
      </c>
      <c r="O79" s="6">
        <f t="shared" si="3"/>
        <v>12387</v>
      </c>
      <c r="P79" s="7"/>
    </row>
    <row r="80" spans="1:16" ht="16">
      <c r="A80" s="7" t="s">
        <v>234</v>
      </c>
      <c r="B80" s="106" t="s">
        <v>235</v>
      </c>
      <c r="C80" s="34" t="s">
        <v>163</v>
      </c>
      <c r="D80" s="7" t="s">
        <v>53</v>
      </c>
      <c r="E80" s="7" t="s">
        <v>223</v>
      </c>
      <c r="F80" s="35" t="s">
        <v>55</v>
      </c>
      <c r="G80" s="35" t="s">
        <v>236</v>
      </c>
      <c r="H80" s="36" t="s">
        <v>22</v>
      </c>
      <c r="I80" s="35" t="s">
        <v>23</v>
      </c>
      <c r="J80" s="37">
        <v>46082</v>
      </c>
      <c r="K80" s="37">
        <v>46387</v>
      </c>
      <c r="L80" s="35" t="s">
        <v>237</v>
      </c>
      <c r="M80" s="38">
        <v>36000</v>
      </c>
      <c r="N80" s="8">
        <v>1</v>
      </c>
      <c r="O80" s="6">
        <f t="shared" si="3"/>
        <v>36000</v>
      </c>
      <c r="P80" s="7" t="s">
        <v>238</v>
      </c>
    </row>
    <row r="81" spans="1:16">
      <c r="A81" t="s">
        <v>239</v>
      </c>
      <c r="B81" s="33" t="s">
        <v>239</v>
      </c>
      <c r="C81" s="34" t="s">
        <v>163</v>
      </c>
      <c r="D81" s="7" t="s">
        <v>53</v>
      </c>
      <c r="E81" s="7" t="s">
        <v>223</v>
      </c>
      <c r="F81" s="35" t="s">
        <v>55</v>
      </c>
      <c r="G81" s="40" t="s">
        <v>240</v>
      </c>
      <c r="H81" s="36">
        <v>31317555</v>
      </c>
      <c r="I81" s="35" t="s">
        <v>31</v>
      </c>
      <c r="J81" s="42">
        <v>45796</v>
      </c>
      <c r="K81" s="42">
        <v>46142</v>
      </c>
      <c r="L81" s="35" t="s">
        <v>60</v>
      </c>
      <c r="M81" s="38">
        <v>9008.16</v>
      </c>
      <c r="N81" s="39">
        <v>1</v>
      </c>
      <c r="O81" s="6">
        <f t="shared" si="3"/>
        <v>9008.16</v>
      </c>
    </row>
    <row r="82" spans="1:16">
      <c r="A82" s="7" t="s">
        <v>241</v>
      </c>
      <c r="B82" s="41" t="s">
        <v>241</v>
      </c>
      <c r="C82" s="34" t="s">
        <v>18</v>
      </c>
      <c r="D82" s="7" t="s">
        <v>19</v>
      </c>
      <c r="E82" s="7" t="s">
        <v>242</v>
      </c>
      <c r="F82" s="35" t="s">
        <v>21</v>
      </c>
      <c r="G82" s="35" t="s">
        <v>22</v>
      </c>
      <c r="H82" s="36">
        <v>87101359</v>
      </c>
      <c r="I82" s="35" t="s">
        <v>23</v>
      </c>
      <c r="J82" s="37">
        <v>46023</v>
      </c>
      <c r="K82" s="37">
        <v>46387</v>
      </c>
      <c r="L82" s="35" t="s">
        <v>35</v>
      </c>
      <c r="M82" s="38">
        <v>0</v>
      </c>
      <c r="N82" s="47">
        <v>1</v>
      </c>
      <c r="O82" s="6">
        <f t="shared" si="3"/>
        <v>0</v>
      </c>
      <c r="P82" t="s">
        <v>243</v>
      </c>
    </row>
    <row r="83" spans="1:16">
      <c r="A83" s="7" t="s">
        <v>244</v>
      </c>
      <c r="B83" s="41" t="s">
        <v>245</v>
      </c>
      <c r="C83" s="34" t="s">
        <v>163</v>
      </c>
      <c r="D83" s="7" t="s">
        <v>53</v>
      </c>
      <c r="E83" s="7" t="s">
        <v>246</v>
      </c>
      <c r="F83" s="35" t="s">
        <v>55</v>
      </c>
      <c r="G83" s="40" t="s">
        <v>247</v>
      </c>
      <c r="H83" s="36">
        <v>31319957</v>
      </c>
      <c r="I83" s="35" t="s">
        <v>23</v>
      </c>
      <c r="J83" s="42">
        <v>46023</v>
      </c>
      <c r="K83" s="42">
        <v>46387</v>
      </c>
      <c r="L83" s="35" t="s">
        <v>39</v>
      </c>
      <c r="M83" s="38">
        <v>474281</v>
      </c>
      <c r="N83" s="8">
        <v>1</v>
      </c>
      <c r="O83" s="6">
        <f t="shared" ref="O83:O89" si="4">M83*N83</f>
        <v>474281</v>
      </c>
    </row>
    <row r="84" spans="1:16">
      <c r="A84" s="7" t="s">
        <v>248</v>
      </c>
      <c r="B84" s="41" t="s">
        <v>249</v>
      </c>
      <c r="C84" s="34" t="s">
        <v>18</v>
      </c>
      <c r="D84" s="7" t="s">
        <v>19</v>
      </c>
      <c r="E84" s="7" t="s">
        <v>250</v>
      </c>
      <c r="F84" s="35" t="s">
        <v>21</v>
      </c>
      <c r="G84" s="35" t="s">
        <v>22</v>
      </c>
      <c r="H84" s="36">
        <v>89100541</v>
      </c>
      <c r="I84" s="35" t="s">
        <v>31</v>
      </c>
      <c r="J84" s="37">
        <v>45292</v>
      </c>
      <c r="K84" s="37">
        <v>46081</v>
      </c>
      <c r="L84" s="35" t="s">
        <v>24</v>
      </c>
      <c r="M84" s="38">
        <v>0</v>
      </c>
      <c r="N84" s="47">
        <v>1</v>
      </c>
      <c r="O84" s="6">
        <f t="shared" si="4"/>
        <v>0</v>
      </c>
      <c r="P84" t="s">
        <v>251</v>
      </c>
    </row>
    <row r="85" spans="1:16">
      <c r="A85" s="7" t="s">
        <v>252</v>
      </c>
      <c r="B85" s="41" t="s">
        <v>252</v>
      </c>
      <c r="C85" s="34" t="s">
        <v>18</v>
      </c>
      <c r="D85" s="7" t="s">
        <v>19</v>
      </c>
      <c r="E85" s="7" t="s">
        <v>250</v>
      </c>
      <c r="F85" s="35" t="s">
        <v>21</v>
      </c>
      <c r="G85" s="35" t="s">
        <v>22</v>
      </c>
      <c r="H85" s="36">
        <v>89101178</v>
      </c>
      <c r="I85" s="35" t="s">
        <v>157</v>
      </c>
      <c r="J85" s="37">
        <v>46023</v>
      </c>
      <c r="K85" s="37">
        <v>46387</v>
      </c>
      <c r="L85" s="35" t="s">
        <v>24</v>
      </c>
      <c r="M85" s="38">
        <v>0</v>
      </c>
      <c r="N85" s="47">
        <v>1</v>
      </c>
      <c r="O85" s="6">
        <f t="shared" si="4"/>
        <v>0</v>
      </c>
      <c r="P85" t="s">
        <v>251</v>
      </c>
    </row>
    <row r="86" spans="1:16">
      <c r="A86" s="7" t="s">
        <v>253</v>
      </c>
      <c r="B86" s="41" t="s">
        <v>253</v>
      </c>
      <c r="C86" s="34" t="s">
        <v>18</v>
      </c>
      <c r="D86" s="7" t="s">
        <v>19</v>
      </c>
      <c r="E86" s="7" t="s">
        <v>250</v>
      </c>
      <c r="F86" s="35" t="s">
        <v>21</v>
      </c>
      <c r="G86" s="35" t="s">
        <v>22</v>
      </c>
      <c r="H86" s="36">
        <v>89101178</v>
      </c>
      <c r="I86" s="35" t="s">
        <v>23</v>
      </c>
      <c r="J86" s="37">
        <v>46023</v>
      </c>
      <c r="K86" s="37">
        <v>46387</v>
      </c>
      <c r="L86" s="35" t="s">
        <v>24</v>
      </c>
      <c r="M86" s="38">
        <v>0</v>
      </c>
      <c r="N86" s="47">
        <v>1</v>
      </c>
      <c r="O86" s="6">
        <f t="shared" si="4"/>
        <v>0</v>
      </c>
      <c r="P86" t="s">
        <v>251</v>
      </c>
    </row>
    <row r="87" spans="1:16">
      <c r="A87" s="7" t="s">
        <v>254</v>
      </c>
      <c r="B87" s="41" t="s">
        <v>255</v>
      </c>
      <c r="C87" s="34" t="s">
        <v>18</v>
      </c>
      <c r="D87" s="7" t="s">
        <v>18</v>
      </c>
      <c r="E87" s="7" t="s">
        <v>250</v>
      </c>
      <c r="F87" s="35" t="s">
        <v>21</v>
      </c>
      <c r="G87" s="40" t="s">
        <v>22</v>
      </c>
      <c r="H87" s="40">
        <v>87101339</v>
      </c>
      <c r="I87" s="35" t="s">
        <v>23</v>
      </c>
      <c r="J87" s="37">
        <v>46023</v>
      </c>
      <c r="K87" s="37">
        <v>46752</v>
      </c>
      <c r="L87" s="35" t="s">
        <v>35</v>
      </c>
      <c r="M87" s="38">
        <v>0</v>
      </c>
      <c r="N87" s="47">
        <v>1</v>
      </c>
      <c r="O87" s="6">
        <f t="shared" si="4"/>
        <v>0</v>
      </c>
      <c r="P87" t="s">
        <v>256</v>
      </c>
    </row>
    <row r="88" spans="1:16">
      <c r="A88" s="7" t="s">
        <v>257</v>
      </c>
      <c r="B88" s="41" t="s">
        <v>796</v>
      </c>
      <c r="C88" s="34" t="s">
        <v>163</v>
      </c>
      <c r="D88" s="7" t="s">
        <v>78</v>
      </c>
      <c r="E88" s="7" t="s">
        <v>258</v>
      </c>
      <c r="F88" s="35" t="s">
        <v>21</v>
      </c>
      <c r="G88" s="35" t="s">
        <v>22</v>
      </c>
      <c r="H88" s="36">
        <v>87101430</v>
      </c>
      <c r="I88" s="35" t="s">
        <v>23</v>
      </c>
      <c r="J88" s="37">
        <v>46136</v>
      </c>
      <c r="K88" s="37">
        <v>46387</v>
      </c>
      <c r="L88" s="35" t="s">
        <v>24</v>
      </c>
      <c r="M88" s="38">
        <v>304000</v>
      </c>
      <c r="N88" s="94">
        <v>1</v>
      </c>
      <c r="O88" s="6">
        <f t="shared" si="4"/>
        <v>304000</v>
      </c>
      <c r="P88" s="7"/>
    </row>
    <row r="89" spans="1:16">
      <c r="A89" t="s">
        <v>259</v>
      </c>
      <c r="B89" t="s">
        <v>259</v>
      </c>
      <c r="C89" s="34" t="s">
        <v>163</v>
      </c>
      <c r="D89" s="7" t="s">
        <v>129</v>
      </c>
      <c r="E89" t="s">
        <v>258</v>
      </c>
      <c r="F89" s="35" t="s">
        <v>55</v>
      </c>
      <c r="G89" s="40" t="s">
        <v>260</v>
      </c>
      <c r="H89" s="40" t="s">
        <v>261</v>
      </c>
      <c r="I89" s="35" t="s">
        <v>31</v>
      </c>
      <c r="J89" s="42">
        <v>46023</v>
      </c>
      <c r="K89" s="42">
        <v>46112</v>
      </c>
      <c r="L89" s="35" t="s">
        <v>194</v>
      </c>
      <c r="M89" s="38">
        <v>0</v>
      </c>
      <c r="N89" s="39">
        <v>1</v>
      </c>
      <c r="O89" s="6">
        <f t="shared" si="4"/>
        <v>0</v>
      </c>
      <c r="P89" t="s">
        <v>262</v>
      </c>
    </row>
    <row r="90" spans="1:16">
      <c r="A90" s="7" t="s">
        <v>263</v>
      </c>
      <c r="B90" s="41" t="s">
        <v>263</v>
      </c>
      <c r="C90" s="34" t="s">
        <v>77</v>
      </c>
      <c r="D90" s="7" t="s">
        <v>129</v>
      </c>
      <c r="E90" s="7" t="s">
        <v>264</v>
      </c>
      <c r="F90" s="35" t="s">
        <v>55</v>
      </c>
      <c r="G90" s="35" t="s">
        <v>265</v>
      </c>
      <c r="H90" s="36">
        <v>31310721</v>
      </c>
      <c r="I90" s="35" t="s">
        <v>23</v>
      </c>
      <c r="J90" s="37">
        <v>45231</v>
      </c>
      <c r="K90" s="37">
        <v>46387</v>
      </c>
      <c r="L90" s="35" t="s">
        <v>39</v>
      </c>
      <c r="M90" s="38">
        <v>250000</v>
      </c>
      <c r="N90" s="9">
        <v>1</v>
      </c>
      <c r="O90" s="6">
        <v>250000</v>
      </c>
      <c r="P90" s="7" t="s">
        <v>266</v>
      </c>
    </row>
    <row r="91" spans="1:16">
      <c r="A91" s="7" t="s">
        <v>267</v>
      </c>
      <c r="B91" s="41" t="s">
        <v>267</v>
      </c>
      <c r="C91" s="34" t="s">
        <v>77</v>
      </c>
      <c r="D91" s="7" t="s">
        <v>18</v>
      </c>
      <c r="E91" s="7" t="s">
        <v>264</v>
      </c>
      <c r="F91" s="35" t="s">
        <v>21</v>
      </c>
      <c r="G91" s="35" t="s">
        <v>22</v>
      </c>
      <c r="H91" s="36"/>
      <c r="I91" s="35" t="s">
        <v>23</v>
      </c>
      <c r="J91" s="37">
        <v>45658</v>
      </c>
      <c r="K91" s="37">
        <v>46203</v>
      </c>
      <c r="L91" s="35" t="s">
        <v>24</v>
      </c>
      <c r="M91" s="38">
        <v>0</v>
      </c>
      <c r="N91" s="9">
        <v>1</v>
      </c>
      <c r="O91" s="6">
        <v>0</v>
      </c>
      <c r="P91" s="7" t="s">
        <v>268</v>
      </c>
    </row>
    <row r="92" spans="1:16">
      <c r="A92" s="7" t="s">
        <v>269</v>
      </c>
      <c r="B92" s="41" t="s">
        <v>270</v>
      </c>
      <c r="C92" s="34" t="s">
        <v>18</v>
      </c>
      <c r="D92" s="7" t="s">
        <v>18</v>
      </c>
      <c r="E92" s="7" t="s">
        <v>271</v>
      </c>
      <c r="F92" s="35" t="s">
        <v>21</v>
      </c>
      <c r="G92" s="35" t="s">
        <v>22</v>
      </c>
      <c r="H92" s="36">
        <v>87101349</v>
      </c>
      <c r="I92" s="35" t="s">
        <v>23</v>
      </c>
      <c r="J92" s="37">
        <v>45748</v>
      </c>
      <c r="K92" s="37">
        <v>46387</v>
      </c>
      <c r="L92" s="35" t="s">
        <v>24</v>
      </c>
      <c r="M92" s="38">
        <v>848000</v>
      </c>
      <c r="N92" s="9">
        <v>1</v>
      </c>
      <c r="O92" s="6">
        <f t="shared" ref="O92:O97" si="5">M92*N92</f>
        <v>848000</v>
      </c>
    </row>
    <row r="93" spans="1:16" ht="16">
      <c r="A93" s="45" t="s">
        <v>272</v>
      </c>
      <c r="B93" s="46" t="s">
        <v>272</v>
      </c>
      <c r="C93" s="34" t="s">
        <v>18</v>
      </c>
      <c r="D93" s="7" t="s">
        <v>18</v>
      </c>
      <c r="E93" s="7" t="s">
        <v>271</v>
      </c>
      <c r="F93" s="35" t="s">
        <v>55</v>
      </c>
      <c r="G93" s="40" t="s">
        <v>273</v>
      </c>
      <c r="H93" s="36" t="s">
        <v>274</v>
      </c>
      <c r="I93" s="35" t="s">
        <v>31</v>
      </c>
      <c r="J93" s="37">
        <v>46023</v>
      </c>
      <c r="K93" s="37">
        <v>46112</v>
      </c>
      <c r="L93" s="35" t="s">
        <v>120</v>
      </c>
      <c r="M93" s="38">
        <v>8444</v>
      </c>
      <c r="N93" s="47">
        <v>1</v>
      </c>
      <c r="O93" s="6">
        <f t="shared" si="5"/>
        <v>8444</v>
      </c>
      <c r="P93" t="s">
        <v>275</v>
      </c>
    </row>
    <row r="94" spans="1:16">
      <c r="A94" s="7" t="s">
        <v>276</v>
      </c>
      <c r="B94" s="41" t="s">
        <v>276</v>
      </c>
      <c r="C94" s="34" t="s">
        <v>77</v>
      </c>
      <c r="D94" s="7" t="s">
        <v>19</v>
      </c>
      <c r="E94" s="7" t="s">
        <v>277</v>
      </c>
      <c r="F94" s="35" t="s">
        <v>21</v>
      </c>
      <c r="G94" s="35" t="s">
        <v>22</v>
      </c>
      <c r="H94" s="36">
        <v>89100881</v>
      </c>
      <c r="I94" s="35" t="s">
        <v>31</v>
      </c>
      <c r="J94" s="37">
        <v>45635</v>
      </c>
      <c r="K94" s="37">
        <v>46112</v>
      </c>
      <c r="L94" s="35" t="s">
        <v>24</v>
      </c>
      <c r="M94" s="38">
        <v>0</v>
      </c>
      <c r="N94" s="12">
        <v>1</v>
      </c>
      <c r="O94" s="6">
        <f t="shared" si="5"/>
        <v>0</v>
      </c>
      <c r="P94" s="7" t="s">
        <v>278</v>
      </c>
    </row>
    <row r="95" spans="1:16" ht="16">
      <c r="A95" t="s">
        <v>279</v>
      </c>
      <c r="B95" s="33" t="s">
        <v>279</v>
      </c>
      <c r="C95" s="34" t="s">
        <v>77</v>
      </c>
      <c r="D95" s="7" t="s">
        <v>18</v>
      </c>
      <c r="E95" s="7" t="s">
        <v>277</v>
      </c>
      <c r="F95" s="35" t="s">
        <v>55</v>
      </c>
      <c r="G95" s="35" t="s">
        <v>280</v>
      </c>
      <c r="H95" s="36" t="s">
        <v>281</v>
      </c>
      <c r="I95" s="35" t="s">
        <v>31</v>
      </c>
      <c r="J95" s="37">
        <v>45931</v>
      </c>
      <c r="K95" s="37">
        <v>46112</v>
      </c>
      <c r="L95" s="35" t="s">
        <v>60</v>
      </c>
      <c r="M95" s="38">
        <v>9575</v>
      </c>
      <c r="N95" s="9">
        <v>1</v>
      </c>
      <c r="O95" s="6">
        <f t="shared" si="5"/>
        <v>9575</v>
      </c>
      <c r="P95" s="7"/>
    </row>
    <row r="96" spans="1:16">
      <c r="A96" t="s">
        <v>282</v>
      </c>
      <c r="B96" t="s">
        <v>283</v>
      </c>
      <c r="C96" s="34" t="s">
        <v>77</v>
      </c>
      <c r="D96" s="7" t="s">
        <v>19</v>
      </c>
      <c r="E96" s="7" t="s">
        <v>277</v>
      </c>
      <c r="F96" s="35" t="s">
        <v>21</v>
      </c>
      <c r="G96" s="35" t="s">
        <v>22</v>
      </c>
      <c r="H96" s="40">
        <v>87101411</v>
      </c>
      <c r="I96" s="35" t="s">
        <v>23</v>
      </c>
      <c r="J96" s="37">
        <v>46054</v>
      </c>
      <c r="K96" s="37">
        <v>46234</v>
      </c>
      <c r="L96" s="35" t="s">
        <v>24</v>
      </c>
      <c r="M96" s="38">
        <v>0</v>
      </c>
      <c r="N96" s="39">
        <v>1</v>
      </c>
      <c r="O96" s="6">
        <f t="shared" si="5"/>
        <v>0</v>
      </c>
      <c r="P96" t="s">
        <v>284</v>
      </c>
    </row>
    <row r="97" spans="1:16">
      <c r="A97" t="s">
        <v>285</v>
      </c>
      <c r="B97" t="s">
        <v>286</v>
      </c>
      <c r="C97" s="34" t="s">
        <v>77</v>
      </c>
      <c r="D97" s="7" t="s">
        <v>19</v>
      </c>
      <c r="E97" s="7" t="s">
        <v>277</v>
      </c>
      <c r="F97" s="35" t="s">
        <v>21</v>
      </c>
      <c r="G97" s="40" t="s">
        <v>22</v>
      </c>
      <c r="H97" s="40">
        <v>87101417</v>
      </c>
      <c r="I97" s="35" t="s">
        <v>23</v>
      </c>
      <c r="J97" s="42">
        <v>46069</v>
      </c>
      <c r="K97" s="42">
        <v>46418</v>
      </c>
      <c r="L97" s="35" t="s">
        <v>24</v>
      </c>
      <c r="M97" s="38">
        <v>299749</v>
      </c>
      <c r="N97" s="39">
        <v>1</v>
      </c>
      <c r="O97" s="6">
        <f t="shared" si="5"/>
        <v>299749</v>
      </c>
      <c r="P97" t="s">
        <v>287</v>
      </c>
    </row>
    <row r="98" spans="1:16">
      <c r="A98" s="7" t="s">
        <v>288</v>
      </c>
      <c r="B98" s="41" t="s">
        <v>288</v>
      </c>
      <c r="C98" s="34" t="s">
        <v>77</v>
      </c>
      <c r="D98" s="7" t="s">
        <v>126</v>
      </c>
      <c r="E98" s="7" t="s">
        <v>289</v>
      </c>
      <c r="F98" s="35" t="s">
        <v>55</v>
      </c>
      <c r="G98" s="35" t="s">
        <v>22</v>
      </c>
      <c r="H98" s="36">
        <v>89101048</v>
      </c>
      <c r="I98" s="35" t="s">
        <v>23</v>
      </c>
      <c r="J98" s="37">
        <v>44927</v>
      </c>
      <c r="K98" s="37">
        <v>46387</v>
      </c>
      <c r="L98" s="35" t="s">
        <v>35</v>
      </c>
      <c r="M98" s="38">
        <v>0</v>
      </c>
      <c r="N98" s="9">
        <v>1</v>
      </c>
      <c r="O98" s="6">
        <v>0</v>
      </c>
      <c r="P98" s="7" t="s">
        <v>290</v>
      </c>
    </row>
    <row r="99" spans="1:16">
      <c r="A99" t="s">
        <v>291</v>
      </c>
      <c r="B99" s="33" t="s">
        <v>291</v>
      </c>
      <c r="C99" s="34" t="s">
        <v>77</v>
      </c>
      <c r="D99" s="7" t="s">
        <v>18</v>
      </c>
      <c r="E99" s="7" t="s">
        <v>289</v>
      </c>
      <c r="F99" s="35" t="s">
        <v>55</v>
      </c>
      <c r="G99" s="40" t="s">
        <v>292</v>
      </c>
      <c r="H99" s="36">
        <v>31319580</v>
      </c>
      <c r="I99" s="35" t="s">
        <v>23</v>
      </c>
      <c r="J99" s="42">
        <v>45992</v>
      </c>
      <c r="K99" s="42">
        <v>46234</v>
      </c>
      <c r="L99" s="35" t="s">
        <v>39</v>
      </c>
      <c r="M99" s="38">
        <v>7294</v>
      </c>
      <c r="N99" s="9">
        <v>1</v>
      </c>
      <c r="O99" s="6">
        <f t="shared" ref="O99:O106" si="6">M99*N99</f>
        <v>7294</v>
      </c>
      <c r="P99" t="s">
        <v>293</v>
      </c>
    </row>
    <row r="100" spans="1:16" ht="16">
      <c r="A100" t="s">
        <v>294</v>
      </c>
      <c r="B100" s="33" t="s">
        <v>294</v>
      </c>
      <c r="C100" s="34" t="s">
        <v>77</v>
      </c>
      <c r="D100" s="7" t="s">
        <v>18</v>
      </c>
      <c r="E100" s="7" t="s">
        <v>289</v>
      </c>
      <c r="F100" s="35" t="s">
        <v>55</v>
      </c>
      <c r="G100" s="40" t="s">
        <v>295</v>
      </c>
      <c r="H100" s="36" t="s">
        <v>296</v>
      </c>
      <c r="I100" s="35" t="s">
        <v>31</v>
      </c>
      <c r="J100" s="42">
        <v>46023</v>
      </c>
      <c r="K100" s="42">
        <v>46203</v>
      </c>
      <c r="L100" s="35" t="s">
        <v>39</v>
      </c>
      <c r="M100" s="38">
        <v>12306</v>
      </c>
      <c r="N100" s="9">
        <v>1</v>
      </c>
      <c r="O100" s="6">
        <f t="shared" si="6"/>
        <v>12306</v>
      </c>
      <c r="P100" t="s">
        <v>297</v>
      </c>
    </row>
    <row r="101" spans="1:16">
      <c r="A101" s="7" t="s">
        <v>298</v>
      </c>
      <c r="B101" s="41" t="s">
        <v>797</v>
      </c>
      <c r="C101" s="34" t="s">
        <v>163</v>
      </c>
      <c r="D101" s="7" t="s">
        <v>129</v>
      </c>
      <c r="E101" s="7" t="s">
        <v>299</v>
      </c>
      <c r="F101" s="35" t="s">
        <v>21</v>
      </c>
      <c r="G101" s="35" t="s">
        <v>22</v>
      </c>
      <c r="H101" s="40">
        <v>87101362</v>
      </c>
      <c r="I101" s="35" t="s">
        <v>31</v>
      </c>
      <c r="J101" s="37">
        <v>45823</v>
      </c>
      <c r="K101" s="42">
        <v>46203</v>
      </c>
      <c r="L101" s="35" t="s">
        <v>24</v>
      </c>
      <c r="M101" s="38">
        <v>71551.11</v>
      </c>
      <c r="N101" s="39">
        <v>1</v>
      </c>
      <c r="O101" s="6">
        <f t="shared" si="6"/>
        <v>71551.11</v>
      </c>
      <c r="P101" t="s">
        <v>300</v>
      </c>
    </row>
    <row r="102" spans="1:16">
      <c r="A102" s="44" t="s">
        <v>301</v>
      </c>
      <c r="B102" s="44" t="s">
        <v>301</v>
      </c>
      <c r="C102" s="122" t="s">
        <v>163</v>
      </c>
      <c r="D102" s="44" t="s">
        <v>53</v>
      </c>
      <c r="E102" s="44" t="s">
        <v>299</v>
      </c>
      <c r="F102" s="123" t="s">
        <v>21</v>
      </c>
      <c r="G102" s="123" t="s">
        <v>22</v>
      </c>
      <c r="H102" s="123" t="s">
        <v>22</v>
      </c>
      <c r="I102" s="123" t="s">
        <v>23</v>
      </c>
      <c r="J102" s="124"/>
      <c r="K102" s="124"/>
      <c r="L102" s="123"/>
      <c r="M102" s="125">
        <v>0</v>
      </c>
      <c r="N102" s="126">
        <v>1</v>
      </c>
      <c r="O102" s="6">
        <f t="shared" si="6"/>
        <v>0</v>
      </c>
      <c r="P102" s="44" t="s">
        <v>302</v>
      </c>
    </row>
    <row r="103" spans="1:16">
      <c r="A103" s="44" t="s">
        <v>303</v>
      </c>
      <c r="B103" s="44" t="s">
        <v>303</v>
      </c>
      <c r="C103" s="122" t="s">
        <v>163</v>
      </c>
      <c r="D103" s="44" t="s">
        <v>53</v>
      </c>
      <c r="E103" s="44" t="s">
        <v>299</v>
      </c>
      <c r="F103" s="123" t="s">
        <v>21</v>
      </c>
      <c r="G103" s="123" t="s">
        <v>22</v>
      </c>
      <c r="H103" s="123" t="s">
        <v>22</v>
      </c>
      <c r="I103" s="123" t="s">
        <v>23</v>
      </c>
      <c r="J103" s="124"/>
      <c r="K103" s="124"/>
      <c r="L103" s="123"/>
      <c r="M103" s="125">
        <v>0</v>
      </c>
      <c r="N103" s="126">
        <v>1</v>
      </c>
      <c r="O103" s="6">
        <f t="shared" si="6"/>
        <v>0</v>
      </c>
      <c r="P103" s="44" t="s">
        <v>304</v>
      </c>
    </row>
    <row r="104" spans="1:16">
      <c r="A104" t="s">
        <v>305</v>
      </c>
      <c r="B104" t="s">
        <v>305</v>
      </c>
      <c r="C104" s="34" t="s">
        <v>163</v>
      </c>
      <c r="D104" s="7" t="s">
        <v>78</v>
      </c>
      <c r="E104" t="s">
        <v>299</v>
      </c>
      <c r="F104" s="35" t="s">
        <v>21</v>
      </c>
      <c r="G104" s="35" t="s">
        <v>22</v>
      </c>
      <c r="H104" s="40"/>
      <c r="I104" s="35" t="s">
        <v>306</v>
      </c>
      <c r="J104"/>
      <c r="K104"/>
      <c r="L104" s="35" t="s">
        <v>24</v>
      </c>
      <c r="M104" s="38">
        <v>650000</v>
      </c>
      <c r="N104" s="39">
        <v>0.05</v>
      </c>
      <c r="O104" s="6">
        <f t="shared" si="6"/>
        <v>32500</v>
      </c>
      <c r="P104" t="s">
        <v>307</v>
      </c>
    </row>
    <row r="105" spans="1:16">
      <c r="A105" t="s">
        <v>308</v>
      </c>
      <c r="B105" t="s">
        <v>309</v>
      </c>
      <c r="C105" s="34" t="s">
        <v>163</v>
      </c>
      <c r="D105" t="s">
        <v>53</v>
      </c>
      <c r="E105" t="s">
        <v>299</v>
      </c>
      <c r="F105" s="35" t="s">
        <v>21</v>
      </c>
      <c r="G105" s="35" t="s">
        <v>22</v>
      </c>
      <c r="H105" s="40" t="s">
        <v>310</v>
      </c>
      <c r="I105" s="35" t="s">
        <v>23</v>
      </c>
      <c r="J105" s="42">
        <v>46023</v>
      </c>
      <c r="K105" s="42">
        <v>46203</v>
      </c>
      <c r="L105" s="35" t="s">
        <v>24</v>
      </c>
      <c r="M105" s="38">
        <v>0</v>
      </c>
      <c r="N105" s="39">
        <v>1</v>
      </c>
      <c r="O105" s="6">
        <f t="shared" si="6"/>
        <v>0</v>
      </c>
      <c r="P105" t="s">
        <v>199</v>
      </c>
    </row>
    <row r="106" spans="1:16">
      <c r="A106" s="7" t="s">
        <v>311</v>
      </c>
      <c r="B106" s="41" t="s">
        <v>312</v>
      </c>
      <c r="C106" s="34" t="s">
        <v>77</v>
      </c>
      <c r="D106" s="7" t="s">
        <v>78</v>
      </c>
      <c r="E106" s="7" t="s">
        <v>313</v>
      </c>
      <c r="F106" s="35" t="s">
        <v>21</v>
      </c>
      <c r="G106" s="35" t="s">
        <v>22</v>
      </c>
      <c r="H106" s="36">
        <v>87101290</v>
      </c>
      <c r="I106" s="35" t="s">
        <v>23</v>
      </c>
      <c r="J106" s="14" t="s">
        <v>314</v>
      </c>
      <c r="K106" s="37">
        <v>46203</v>
      </c>
      <c r="L106" s="35" t="s">
        <v>24</v>
      </c>
      <c r="M106" s="38">
        <v>222000</v>
      </c>
      <c r="N106" s="12">
        <v>1</v>
      </c>
      <c r="O106" s="6">
        <f t="shared" si="6"/>
        <v>222000</v>
      </c>
      <c r="P106" s="13" t="s">
        <v>315</v>
      </c>
    </row>
    <row r="107" spans="1:16" ht="16">
      <c r="A107" s="7" t="s">
        <v>316</v>
      </c>
      <c r="B107" s="41" t="s">
        <v>316</v>
      </c>
      <c r="C107" s="34" t="s">
        <v>77</v>
      </c>
      <c r="D107" s="7" t="s">
        <v>53</v>
      </c>
      <c r="E107" s="7" t="s">
        <v>313</v>
      </c>
      <c r="F107" s="35" t="s">
        <v>21</v>
      </c>
      <c r="G107" s="35" t="s">
        <v>22</v>
      </c>
      <c r="H107" s="36" t="s">
        <v>317</v>
      </c>
      <c r="I107" s="35" t="s">
        <v>31</v>
      </c>
      <c r="J107" s="37">
        <v>45078</v>
      </c>
      <c r="K107" s="37">
        <v>46387</v>
      </c>
      <c r="L107" s="35" t="s">
        <v>24</v>
      </c>
      <c r="M107" s="38">
        <v>0</v>
      </c>
      <c r="N107" s="12">
        <v>1</v>
      </c>
      <c r="O107" s="6">
        <v>0</v>
      </c>
      <c r="P107" s="7" t="s">
        <v>318</v>
      </c>
    </row>
    <row r="108" spans="1:16">
      <c r="A108" s="7" t="s">
        <v>319</v>
      </c>
      <c r="B108" s="41" t="s">
        <v>320</v>
      </c>
      <c r="C108" s="34" t="s">
        <v>77</v>
      </c>
      <c r="D108" s="7" t="s">
        <v>129</v>
      </c>
      <c r="E108" s="7" t="s">
        <v>313</v>
      </c>
      <c r="F108" s="35" t="s">
        <v>21</v>
      </c>
      <c r="G108" s="35" t="s">
        <v>22</v>
      </c>
      <c r="H108" s="36">
        <v>89100958</v>
      </c>
      <c r="I108" s="35" t="s">
        <v>23</v>
      </c>
      <c r="J108" s="42">
        <v>46023</v>
      </c>
      <c r="K108" s="37">
        <v>46387</v>
      </c>
      <c r="L108" s="35" t="s">
        <v>24</v>
      </c>
      <c r="M108" s="38">
        <v>0</v>
      </c>
      <c r="N108" s="9">
        <v>1</v>
      </c>
      <c r="O108" s="6">
        <v>0</v>
      </c>
      <c r="P108" s="7" t="s">
        <v>321</v>
      </c>
    </row>
    <row r="109" spans="1:16">
      <c r="A109" s="7" t="s">
        <v>322</v>
      </c>
      <c r="B109" s="41" t="s">
        <v>322</v>
      </c>
      <c r="C109" s="34" t="s">
        <v>18</v>
      </c>
      <c r="D109" s="7" t="s">
        <v>78</v>
      </c>
      <c r="E109" s="7" t="s">
        <v>242</v>
      </c>
      <c r="F109" s="35" t="s">
        <v>21</v>
      </c>
      <c r="G109" s="35" t="s">
        <v>22</v>
      </c>
      <c r="H109" s="36">
        <v>87101427</v>
      </c>
      <c r="I109" s="35" t="s">
        <v>23</v>
      </c>
      <c r="J109" s="37">
        <v>46023</v>
      </c>
      <c r="K109" s="37">
        <v>46387</v>
      </c>
      <c r="L109" s="35" t="s">
        <v>24</v>
      </c>
      <c r="M109" s="38">
        <v>999000</v>
      </c>
      <c r="N109" s="8">
        <v>1</v>
      </c>
      <c r="O109" s="6">
        <f>M109*N109</f>
        <v>999000</v>
      </c>
    </row>
    <row r="110" spans="1:16">
      <c r="A110" s="7" t="s">
        <v>323</v>
      </c>
      <c r="B110" s="41" t="s">
        <v>324</v>
      </c>
      <c r="C110" s="34" t="s">
        <v>18</v>
      </c>
      <c r="D110" s="7" t="s">
        <v>18</v>
      </c>
      <c r="E110" s="7" t="s">
        <v>325</v>
      </c>
      <c r="F110" s="35" t="s">
        <v>21</v>
      </c>
      <c r="G110" s="35" t="s">
        <v>22</v>
      </c>
      <c r="H110" s="36">
        <v>87002025</v>
      </c>
      <c r="I110" s="35" t="s">
        <v>23</v>
      </c>
      <c r="J110" s="37">
        <v>45992</v>
      </c>
      <c r="K110" s="37">
        <v>46387</v>
      </c>
      <c r="L110" s="35" t="s">
        <v>24</v>
      </c>
      <c r="M110" s="38">
        <v>49905</v>
      </c>
      <c r="N110" s="8">
        <v>1</v>
      </c>
      <c r="O110" s="6">
        <f>M110*N110</f>
        <v>49905</v>
      </c>
    </row>
    <row r="111" spans="1:16">
      <c r="A111" t="s">
        <v>326</v>
      </c>
      <c r="C111" s="34" t="s">
        <v>18</v>
      </c>
      <c r="D111" s="7" t="s">
        <v>18</v>
      </c>
      <c r="E111" t="s">
        <v>20</v>
      </c>
      <c r="F111" s="35" t="s">
        <v>21</v>
      </c>
      <c r="G111" s="40" t="s">
        <v>22</v>
      </c>
      <c r="H111" s="40">
        <v>89100826</v>
      </c>
      <c r="I111" s="35" t="s">
        <v>23</v>
      </c>
      <c r="J111" s="42">
        <v>46062</v>
      </c>
      <c r="K111" s="42">
        <v>46295</v>
      </c>
      <c r="L111" s="35" t="s">
        <v>24</v>
      </c>
      <c r="M111" s="38">
        <v>0</v>
      </c>
      <c r="N111" s="39">
        <v>1</v>
      </c>
      <c r="O111" s="6">
        <f>M111*N111</f>
        <v>0</v>
      </c>
      <c r="P111" t="s">
        <v>327</v>
      </c>
    </row>
    <row r="112" spans="1:16" ht="16">
      <c r="A112" s="7" t="s">
        <v>328</v>
      </c>
      <c r="B112" t="s">
        <v>329</v>
      </c>
      <c r="C112" s="34" t="s">
        <v>77</v>
      </c>
      <c r="D112" s="7" t="s">
        <v>126</v>
      </c>
      <c r="E112" s="7" t="s">
        <v>330</v>
      </c>
      <c r="F112" s="35" t="s">
        <v>21</v>
      </c>
      <c r="G112" s="35" t="s">
        <v>22</v>
      </c>
      <c r="H112" s="36" t="s">
        <v>331</v>
      </c>
      <c r="I112" s="35" t="s">
        <v>31</v>
      </c>
      <c r="J112" s="37">
        <v>45231</v>
      </c>
      <c r="K112" s="37">
        <v>46112</v>
      </c>
      <c r="L112" s="35" t="s">
        <v>24</v>
      </c>
      <c r="M112" s="38">
        <v>0</v>
      </c>
      <c r="N112" s="12">
        <v>1</v>
      </c>
      <c r="O112" s="6">
        <v>0</v>
      </c>
      <c r="P112" s="7" t="s">
        <v>332</v>
      </c>
    </row>
    <row r="113" spans="1:16">
      <c r="A113" s="7" t="s">
        <v>333</v>
      </c>
      <c r="B113" s="41" t="s">
        <v>333</v>
      </c>
      <c r="C113" s="34" t="s">
        <v>77</v>
      </c>
      <c r="D113" s="7" t="s">
        <v>126</v>
      </c>
      <c r="E113" s="7" t="s">
        <v>330</v>
      </c>
      <c r="F113" s="35" t="s">
        <v>21</v>
      </c>
      <c r="G113" s="35" t="s">
        <v>22</v>
      </c>
      <c r="H113" s="36">
        <v>87001931</v>
      </c>
      <c r="I113" s="35" t="s">
        <v>23</v>
      </c>
      <c r="J113" s="37">
        <v>45658</v>
      </c>
      <c r="K113" s="37">
        <v>46295</v>
      </c>
      <c r="L113" s="35" t="s">
        <v>24</v>
      </c>
      <c r="M113" s="38">
        <v>0</v>
      </c>
      <c r="N113" s="12">
        <v>1</v>
      </c>
      <c r="O113" s="6">
        <v>0</v>
      </c>
      <c r="P113" s="7" t="s">
        <v>290</v>
      </c>
    </row>
    <row r="114" spans="1:16">
      <c r="A114" s="7" t="s">
        <v>334</v>
      </c>
      <c r="B114" s="41" t="s">
        <v>335</v>
      </c>
      <c r="C114" s="34" t="s">
        <v>77</v>
      </c>
      <c r="D114" s="7" t="s">
        <v>18</v>
      </c>
      <c r="E114" s="7" t="s">
        <v>336</v>
      </c>
      <c r="F114" s="35" t="s">
        <v>55</v>
      </c>
      <c r="G114" s="35" t="s">
        <v>337</v>
      </c>
      <c r="H114" s="36">
        <v>31318078</v>
      </c>
      <c r="I114" s="35" t="s">
        <v>23</v>
      </c>
      <c r="J114" s="37">
        <v>45873</v>
      </c>
      <c r="K114" s="37">
        <v>46387</v>
      </c>
      <c r="L114" s="35" t="s">
        <v>191</v>
      </c>
      <c r="M114" s="38">
        <v>42480</v>
      </c>
      <c r="N114" s="8">
        <v>1</v>
      </c>
      <c r="O114" s="6">
        <f t="shared" ref="O114:O145" si="7">M114*N114</f>
        <v>42480</v>
      </c>
    </row>
    <row r="115" spans="1:16">
      <c r="A115" s="7" t="s">
        <v>338</v>
      </c>
      <c r="B115" s="41" t="s">
        <v>338</v>
      </c>
      <c r="C115" s="34" t="s">
        <v>77</v>
      </c>
      <c r="D115" s="7" t="s">
        <v>18</v>
      </c>
      <c r="E115" s="7" t="s">
        <v>336</v>
      </c>
      <c r="F115" s="35" t="s">
        <v>55</v>
      </c>
      <c r="G115" s="35" t="s">
        <v>339</v>
      </c>
      <c r="H115" s="36">
        <v>31318380</v>
      </c>
      <c r="I115" s="35" t="s">
        <v>31</v>
      </c>
      <c r="J115" s="37">
        <v>45870</v>
      </c>
      <c r="K115" s="37">
        <v>46053</v>
      </c>
      <c r="L115" s="35" t="s">
        <v>60</v>
      </c>
      <c r="M115" s="38">
        <v>5099.8</v>
      </c>
      <c r="N115" s="8">
        <v>1</v>
      </c>
      <c r="O115" s="6">
        <f t="shared" si="7"/>
        <v>5099.8</v>
      </c>
    </row>
    <row r="116" spans="1:16">
      <c r="A116" s="7" t="s">
        <v>340</v>
      </c>
      <c r="B116" s="41" t="s">
        <v>341</v>
      </c>
      <c r="C116" s="34" t="s">
        <v>77</v>
      </c>
      <c r="D116" s="7" t="s">
        <v>19</v>
      </c>
      <c r="E116" s="7" t="s">
        <v>336</v>
      </c>
      <c r="F116" s="35" t="s">
        <v>55</v>
      </c>
      <c r="G116" s="35" t="s">
        <v>342</v>
      </c>
      <c r="H116" s="36">
        <v>31318381</v>
      </c>
      <c r="I116" s="35" t="s">
        <v>31</v>
      </c>
      <c r="J116" s="42">
        <v>45880</v>
      </c>
      <c r="K116" s="42">
        <v>46081</v>
      </c>
      <c r="L116" s="35" t="s">
        <v>60</v>
      </c>
      <c r="M116" s="38">
        <v>562.88</v>
      </c>
      <c r="N116" s="8">
        <v>1</v>
      </c>
      <c r="O116" s="6">
        <f t="shared" si="7"/>
        <v>562.88</v>
      </c>
      <c r="P116" s="7" t="s">
        <v>343</v>
      </c>
    </row>
    <row r="117" spans="1:16">
      <c r="A117" s="7" t="s">
        <v>344</v>
      </c>
      <c r="B117" s="41" t="s">
        <v>344</v>
      </c>
      <c r="C117" s="34" t="s">
        <v>163</v>
      </c>
      <c r="D117" s="7" t="s">
        <v>53</v>
      </c>
      <c r="E117" s="7" t="s">
        <v>345</v>
      </c>
      <c r="F117" s="35" t="s">
        <v>55</v>
      </c>
      <c r="G117" s="40" t="s">
        <v>346</v>
      </c>
      <c r="H117" s="11">
        <v>31319526</v>
      </c>
      <c r="I117" s="35" t="s">
        <v>23</v>
      </c>
      <c r="J117" s="37">
        <v>46023</v>
      </c>
      <c r="K117" s="37">
        <v>46387</v>
      </c>
      <c r="L117" s="35" t="s">
        <v>60</v>
      </c>
      <c r="M117" s="38">
        <v>24000</v>
      </c>
      <c r="N117" s="47">
        <v>1</v>
      </c>
      <c r="O117" s="6">
        <f t="shared" si="7"/>
        <v>24000</v>
      </c>
      <c r="P117" t="s">
        <v>347</v>
      </c>
    </row>
    <row r="118" spans="1:16">
      <c r="A118" t="s">
        <v>348</v>
      </c>
      <c r="B118" s="33" t="s">
        <v>798</v>
      </c>
      <c r="C118" s="34" t="s">
        <v>163</v>
      </c>
      <c r="D118" s="7" t="s">
        <v>53</v>
      </c>
      <c r="E118" t="s">
        <v>350</v>
      </c>
      <c r="F118" s="35" t="s">
        <v>55</v>
      </c>
      <c r="G118" s="40" t="s">
        <v>351</v>
      </c>
      <c r="H118" s="36">
        <v>31319843</v>
      </c>
      <c r="I118" s="35" t="s">
        <v>23</v>
      </c>
      <c r="J118" s="37">
        <v>46023</v>
      </c>
      <c r="K118" s="42">
        <v>46356</v>
      </c>
      <c r="L118" s="35" t="s">
        <v>120</v>
      </c>
      <c r="M118" s="38">
        <v>1355572</v>
      </c>
      <c r="N118" s="100">
        <v>1</v>
      </c>
      <c r="O118" s="6">
        <f t="shared" si="7"/>
        <v>1355572</v>
      </c>
    </row>
    <row r="119" spans="1:16">
      <c r="A119" t="s">
        <v>352</v>
      </c>
      <c r="B119" s="33" t="s">
        <v>349</v>
      </c>
      <c r="C119" s="34" t="s">
        <v>163</v>
      </c>
      <c r="D119" s="7" t="s">
        <v>53</v>
      </c>
      <c r="E119" t="s">
        <v>345</v>
      </c>
      <c r="F119" s="35" t="s">
        <v>55</v>
      </c>
      <c r="G119" s="40" t="s">
        <v>353</v>
      </c>
      <c r="H119" s="36">
        <v>31320188</v>
      </c>
      <c r="I119" s="35" t="s">
        <v>31</v>
      </c>
      <c r="J119" s="37">
        <v>46023</v>
      </c>
      <c r="K119" s="42">
        <v>46081</v>
      </c>
      <c r="L119" s="35" t="s">
        <v>120</v>
      </c>
      <c r="M119" s="38">
        <v>73000</v>
      </c>
      <c r="N119" s="39">
        <v>1</v>
      </c>
      <c r="O119" s="6">
        <f t="shared" si="7"/>
        <v>73000</v>
      </c>
      <c r="P119" t="s">
        <v>354</v>
      </c>
    </row>
    <row r="120" spans="1:16">
      <c r="A120" t="s">
        <v>355</v>
      </c>
      <c r="B120" t="s">
        <v>355</v>
      </c>
      <c r="C120" s="34" t="s">
        <v>163</v>
      </c>
      <c r="D120" s="7" t="s">
        <v>53</v>
      </c>
      <c r="E120" s="7" t="s">
        <v>345</v>
      </c>
      <c r="F120" s="35" t="s">
        <v>55</v>
      </c>
      <c r="G120" s="40" t="s">
        <v>356</v>
      </c>
      <c r="H120" s="40">
        <v>31320881</v>
      </c>
      <c r="I120" s="35" t="s">
        <v>31</v>
      </c>
      <c r="J120" s="37">
        <v>46044</v>
      </c>
      <c r="K120" s="37">
        <v>46112</v>
      </c>
      <c r="L120" s="35" t="s">
        <v>120</v>
      </c>
      <c r="M120" s="38">
        <v>14851.68</v>
      </c>
      <c r="N120" s="39">
        <v>1</v>
      </c>
      <c r="O120" s="6">
        <f t="shared" si="7"/>
        <v>14851.68</v>
      </c>
      <c r="P120" t="s">
        <v>357</v>
      </c>
    </row>
    <row r="121" spans="1:16">
      <c r="A121" t="s">
        <v>358</v>
      </c>
      <c r="B121" t="s">
        <v>358</v>
      </c>
      <c r="C121" s="34" t="s">
        <v>163</v>
      </c>
      <c r="D121" s="7" t="s">
        <v>129</v>
      </c>
      <c r="E121" t="s">
        <v>345</v>
      </c>
      <c r="F121" s="35" t="s">
        <v>55</v>
      </c>
      <c r="G121" s="40" t="s">
        <v>359</v>
      </c>
      <c r="H121" s="40">
        <v>31320665</v>
      </c>
      <c r="I121" s="35" t="s">
        <v>23</v>
      </c>
      <c r="J121" s="42">
        <v>46082</v>
      </c>
      <c r="K121" s="42">
        <v>46377</v>
      </c>
      <c r="L121" s="35" t="s">
        <v>60</v>
      </c>
      <c r="M121" s="38">
        <v>16952</v>
      </c>
      <c r="N121" s="39">
        <v>1</v>
      </c>
      <c r="O121" s="6">
        <f t="shared" si="7"/>
        <v>16952</v>
      </c>
    </row>
    <row r="122" spans="1:16">
      <c r="A122" s="7" t="s">
        <v>360</v>
      </c>
      <c r="B122" s="33" t="s">
        <v>361</v>
      </c>
      <c r="C122" s="34" t="s">
        <v>52</v>
      </c>
      <c r="D122" s="7" t="s">
        <v>129</v>
      </c>
      <c r="E122" s="7" t="s">
        <v>362</v>
      </c>
      <c r="F122" s="35" t="s">
        <v>55</v>
      </c>
      <c r="G122" s="35" t="s">
        <v>363</v>
      </c>
      <c r="H122" s="36">
        <v>31317534</v>
      </c>
      <c r="I122" s="35" t="s">
        <v>23</v>
      </c>
      <c r="J122" s="37">
        <v>45658</v>
      </c>
      <c r="K122" s="37">
        <v>46295</v>
      </c>
      <c r="L122" s="35" t="s">
        <v>60</v>
      </c>
      <c r="M122" s="38">
        <v>313895.08</v>
      </c>
      <c r="N122" s="8">
        <v>1</v>
      </c>
      <c r="O122" s="6">
        <f t="shared" si="7"/>
        <v>313895.08</v>
      </c>
      <c r="P122" t="s">
        <v>300</v>
      </c>
    </row>
    <row r="123" spans="1:16">
      <c r="A123" s="7" t="s">
        <v>364</v>
      </c>
      <c r="B123" s="33" t="s">
        <v>361</v>
      </c>
      <c r="C123" s="34" t="s">
        <v>52</v>
      </c>
      <c r="D123" s="7" t="s">
        <v>18</v>
      </c>
      <c r="E123" s="7" t="s">
        <v>362</v>
      </c>
      <c r="F123" s="35" t="s">
        <v>55</v>
      </c>
      <c r="G123" s="35" t="s">
        <v>363</v>
      </c>
      <c r="H123" s="36">
        <v>31317534</v>
      </c>
      <c r="I123" s="35" t="s">
        <v>23</v>
      </c>
      <c r="J123" s="37">
        <v>45658</v>
      </c>
      <c r="K123" s="37">
        <v>46295</v>
      </c>
      <c r="L123" s="35" t="s">
        <v>60</v>
      </c>
      <c r="M123" s="38">
        <v>58532.68</v>
      </c>
      <c r="N123" s="8">
        <v>1</v>
      </c>
      <c r="O123" s="6">
        <f t="shared" si="7"/>
        <v>58532.68</v>
      </c>
      <c r="P123" t="s">
        <v>300</v>
      </c>
    </row>
    <row r="124" spans="1:16">
      <c r="A124" t="s">
        <v>365</v>
      </c>
      <c r="B124" t="s">
        <v>366</v>
      </c>
      <c r="C124" s="34" t="s">
        <v>163</v>
      </c>
      <c r="D124" t="s">
        <v>53</v>
      </c>
      <c r="E124" t="s">
        <v>367</v>
      </c>
      <c r="F124" s="35" t="s">
        <v>21</v>
      </c>
      <c r="G124" s="35" t="s">
        <v>22</v>
      </c>
      <c r="H124" s="40" t="s">
        <v>368</v>
      </c>
      <c r="I124" s="35" t="s">
        <v>23</v>
      </c>
      <c r="J124" s="42">
        <v>46037</v>
      </c>
      <c r="K124" s="42">
        <v>46387</v>
      </c>
      <c r="L124" s="35" t="s">
        <v>24</v>
      </c>
      <c r="M124" s="38">
        <v>0</v>
      </c>
      <c r="N124" s="39">
        <v>1</v>
      </c>
      <c r="O124" s="6">
        <f t="shared" si="7"/>
        <v>0</v>
      </c>
      <c r="P124" t="s">
        <v>369</v>
      </c>
    </row>
    <row r="125" spans="1:16">
      <c r="A125" t="s">
        <v>370</v>
      </c>
      <c r="B125" s="33" t="s">
        <v>370</v>
      </c>
      <c r="C125" s="34" t="s">
        <v>18</v>
      </c>
      <c r="D125" s="7" t="s">
        <v>18</v>
      </c>
      <c r="E125" s="7" t="s">
        <v>371</v>
      </c>
      <c r="F125" s="35" t="s">
        <v>21</v>
      </c>
      <c r="G125" s="40" t="s">
        <v>22</v>
      </c>
      <c r="H125" s="36">
        <v>89100787</v>
      </c>
      <c r="I125" s="35" t="s">
        <v>23</v>
      </c>
      <c r="J125" s="37">
        <v>46023</v>
      </c>
      <c r="K125" s="37">
        <v>46387</v>
      </c>
      <c r="L125" s="35" t="s">
        <v>24</v>
      </c>
      <c r="M125" s="38">
        <v>0</v>
      </c>
      <c r="N125" s="39">
        <v>1</v>
      </c>
      <c r="O125" s="6">
        <f t="shared" si="7"/>
        <v>0</v>
      </c>
      <c r="P125" t="s">
        <v>372</v>
      </c>
    </row>
    <row r="126" spans="1:16">
      <c r="A126" t="s">
        <v>373</v>
      </c>
      <c r="B126" s="33" t="s">
        <v>373</v>
      </c>
      <c r="C126" s="34" t="s">
        <v>18</v>
      </c>
      <c r="D126" s="7" t="s">
        <v>18</v>
      </c>
      <c r="E126" s="7" t="s">
        <v>371</v>
      </c>
      <c r="F126" s="35" t="s">
        <v>21</v>
      </c>
      <c r="G126" s="40" t="s">
        <v>22</v>
      </c>
      <c r="H126" s="36">
        <v>89100787</v>
      </c>
      <c r="I126" s="35" t="s">
        <v>23</v>
      </c>
      <c r="J126" s="37">
        <v>46082</v>
      </c>
      <c r="K126" s="37">
        <v>46387</v>
      </c>
      <c r="L126" s="35" t="s">
        <v>24</v>
      </c>
      <c r="M126" s="38">
        <v>0</v>
      </c>
      <c r="N126" s="47">
        <v>1</v>
      </c>
      <c r="O126" s="6">
        <f t="shared" si="7"/>
        <v>0</v>
      </c>
      <c r="P126" t="s">
        <v>372</v>
      </c>
    </row>
    <row r="127" spans="1:16">
      <c r="A127" t="s">
        <v>374</v>
      </c>
      <c r="B127" s="33" t="s">
        <v>375</v>
      </c>
      <c r="C127" s="34" t="s">
        <v>18</v>
      </c>
      <c r="D127" s="7" t="s">
        <v>18</v>
      </c>
      <c r="E127" s="7" t="s">
        <v>371</v>
      </c>
      <c r="F127" s="35" t="s">
        <v>21</v>
      </c>
      <c r="G127" s="35" t="s">
        <v>22</v>
      </c>
      <c r="H127" s="36">
        <v>89101224</v>
      </c>
      <c r="I127" s="35" t="s">
        <v>23</v>
      </c>
      <c r="J127" s="37">
        <v>46023</v>
      </c>
      <c r="K127" s="37">
        <v>46387</v>
      </c>
      <c r="L127" s="35" t="s">
        <v>24</v>
      </c>
      <c r="M127" s="38">
        <v>0</v>
      </c>
      <c r="N127" s="47">
        <v>1</v>
      </c>
      <c r="O127" s="6">
        <f t="shared" si="7"/>
        <v>0</v>
      </c>
      <c r="P127" t="s">
        <v>376</v>
      </c>
    </row>
    <row r="128" spans="1:16">
      <c r="A128" t="s">
        <v>377</v>
      </c>
      <c r="B128" s="33" t="s">
        <v>377</v>
      </c>
      <c r="C128" s="34" t="s">
        <v>18</v>
      </c>
      <c r="D128" s="7" t="s">
        <v>18</v>
      </c>
      <c r="E128" s="7" t="s">
        <v>371</v>
      </c>
      <c r="F128" s="35" t="s">
        <v>21</v>
      </c>
      <c r="G128" s="40" t="s">
        <v>22</v>
      </c>
      <c r="H128" s="36">
        <v>89100787</v>
      </c>
      <c r="I128" s="35" t="s">
        <v>23</v>
      </c>
      <c r="J128" s="37">
        <v>46023</v>
      </c>
      <c r="K128" s="37">
        <v>46387</v>
      </c>
      <c r="L128" s="35" t="s">
        <v>24</v>
      </c>
      <c r="M128" s="38">
        <v>0</v>
      </c>
      <c r="N128" s="47">
        <v>1</v>
      </c>
      <c r="O128" s="6">
        <f t="shared" si="7"/>
        <v>0</v>
      </c>
      <c r="P128" t="s">
        <v>372</v>
      </c>
    </row>
    <row r="129" spans="1:16">
      <c r="A129" t="s">
        <v>378</v>
      </c>
      <c r="B129" s="33" t="s">
        <v>378</v>
      </c>
      <c r="C129" s="34" t="s">
        <v>18</v>
      </c>
      <c r="D129" s="7" t="s">
        <v>18</v>
      </c>
      <c r="E129" s="7" t="s">
        <v>371</v>
      </c>
      <c r="F129" s="35" t="s">
        <v>21</v>
      </c>
      <c r="G129" s="40" t="s">
        <v>22</v>
      </c>
      <c r="H129" s="36">
        <v>89100787</v>
      </c>
      <c r="I129" s="35" t="s">
        <v>23</v>
      </c>
      <c r="J129" s="37">
        <v>46023</v>
      </c>
      <c r="K129" s="37">
        <v>46387</v>
      </c>
      <c r="L129" s="35" t="s">
        <v>24</v>
      </c>
      <c r="M129" s="38">
        <v>0</v>
      </c>
      <c r="N129" s="47">
        <v>1</v>
      </c>
      <c r="O129" s="6">
        <f t="shared" si="7"/>
        <v>0</v>
      </c>
      <c r="P129" t="s">
        <v>372</v>
      </c>
    </row>
    <row r="130" spans="1:16">
      <c r="A130" t="s">
        <v>379</v>
      </c>
      <c r="B130" s="33" t="s">
        <v>380</v>
      </c>
      <c r="C130" s="34" t="s">
        <v>18</v>
      </c>
      <c r="D130" s="7" t="s">
        <v>19</v>
      </c>
      <c r="E130" s="7" t="s">
        <v>371</v>
      </c>
      <c r="F130" s="35" t="s">
        <v>21</v>
      </c>
      <c r="G130" s="35" t="s">
        <v>22</v>
      </c>
      <c r="H130" s="36">
        <v>87101413</v>
      </c>
      <c r="I130" s="35" t="s">
        <v>23</v>
      </c>
      <c r="J130" s="37">
        <v>46023</v>
      </c>
      <c r="K130" s="37">
        <v>46387</v>
      </c>
      <c r="L130" s="35" t="s">
        <v>24</v>
      </c>
      <c r="M130" s="38">
        <v>80000</v>
      </c>
      <c r="N130" s="47">
        <v>1</v>
      </c>
      <c r="O130" s="6">
        <f t="shared" si="7"/>
        <v>80000</v>
      </c>
      <c r="P130" t="s">
        <v>381</v>
      </c>
    </row>
    <row r="131" spans="1:16">
      <c r="A131" s="15" t="s">
        <v>382</v>
      </c>
      <c r="B131" s="46" t="s">
        <v>382</v>
      </c>
      <c r="C131" s="34" t="s">
        <v>18</v>
      </c>
      <c r="D131" s="7" t="s">
        <v>18</v>
      </c>
      <c r="E131" s="7" t="s">
        <v>371</v>
      </c>
      <c r="F131" s="35" t="s">
        <v>21</v>
      </c>
      <c r="G131" s="40" t="s">
        <v>22</v>
      </c>
      <c r="H131" s="36">
        <v>89100787</v>
      </c>
      <c r="I131" s="35" t="s">
        <v>23</v>
      </c>
      <c r="J131" s="37">
        <v>46023</v>
      </c>
      <c r="K131" s="37">
        <v>46387</v>
      </c>
      <c r="L131" s="35" t="s">
        <v>24</v>
      </c>
      <c r="M131" s="38">
        <v>0</v>
      </c>
      <c r="N131" s="47">
        <v>1</v>
      </c>
      <c r="O131" s="6">
        <f t="shared" si="7"/>
        <v>0</v>
      </c>
      <c r="P131" t="s">
        <v>372</v>
      </c>
    </row>
    <row r="132" spans="1:16">
      <c r="A132" s="88" t="s">
        <v>383</v>
      </c>
      <c r="B132" s="88" t="s">
        <v>383</v>
      </c>
      <c r="C132" s="122" t="s">
        <v>163</v>
      </c>
      <c r="D132" s="44" t="s">
        <v>53</v>
      </c>
      <c r="E132" s="44" t="s">
        <v>350</v>
      </c>
      <c r="F132" s="123" t="s">
        <v>21</v>
      </c>
      <c r="G132" s="123" t="s">
        <v>22</v>
      </c>
      <c r="H132" s="127">
        <v>89101264</v>
      </c>
      <c r="I132" s="123" t="s">
        <v>384</v>
      </c>
      <c r="J132" s="124">
        <v>45689</v>
      </c>
      <c r="K132" s="128">
        <v>46387</v>
      </c>
      <c r="L132" s="123" t="s">
        <v>24</v>
      </c>
      <c r="M132" s="125">
        <v>0</v>
      </c>
      <c r="N132" s="126">
        <v>1</v>
      </c>
      <c r="O132" s="6">
        <f t="shared" si="7"/>
        <v>0</v>
      </c>
      <c r="P132" s="88" t="s">
        <v>385</v>
      </c>
    </row>
    <row r="133" spans="1:16" ht="16">
      <c r="A133" s="88" t="s">
        <v>386</v>
      </c>
      <c r="B133" s="48" t="s">
        <v>386</v>
      </c>
      <c r="C133" s="122" t="s">
        <v>163</v>
      </c>
      <c r="D133" s="44" t="s">
        <v>53</v>
      </c>
      <c r="E133" s="88"/>
      <c r="F133" s="123" t="s">
        <v>55</v>
      </c>
      <c r="G133" s="129" t="s">
        <v>387</v>
      </c>
      <c r="H133" s="130" t="s">
        <v>22</v>
      </c>
      <c r="I133" s="123" t="s">
        <v>384</v>
      </c>
      <c r="J133" s="129"/>
      <c r="K133" s="129"/>
      <c r="L133" s="123"/>
      <c r="M133" s="125">
        <v>102528</v>
      </c>
      <c r="N133" s="131">
        <v>0</v>
      </c>
      <c r="O133" s="6">
        <f t="shared" si="7"/>
        <v>0</v>
      </c>
      <c r="P133" s="88" t="s">
        <v>388</v>
      </c>
    </row>
    <row r="134" spans="1:16" ht="16">
      <c r="A134" s="88" t="s">
        <v>386</v>
      </c>
      <c r="B134" s="48" t="s">
        <v>386</v>
      </c>
      <c r="C134" s="122" t="s">
        <v>163</v>
      </c>
      <c r="D134" s="44" t="s">
        <v>129</v>
      </c>
      <c r="E134" s="88"/>
      <c r="F134" s="123" t="s">
        <v>55</v>
      </c>
      <c r="G134" s="129" t="s">
        <v>387</v>
      </c>
      <c r="H134" s="130" t="s">
        <v>22</v>
      </c>
      <c r="I134" s="123" t="s">
        <v>384</v>
      </c>
      <c r="J134" s="129"/>
      <c r="K134" s="129"/>
      <c r="L134" s="123"/>
      <c r="M134" s="125">
        <v>89316</v>
      </c>
      <c r="N134" s="131">
        <v>0</v>
      </c>
      <c r="O134" s="6">
        <f t="shared" si="7"/>
        <v>0</v>
      </c>
      <c r="P134" s="88" t="s">
        <v>388</v>
      </c>
    </row>
    <row r="135" spans="1:16">
      <c r="A135" t="s">
        <v>389</v>
      </c>
      <c r="B135" t="s">
        <v>389</v>
      </c>
      <c r="C135" s="34" t="s">
        <v>163</v>
      </c>
      <c r="D135" s="7" t="s">
        <v>129</v>
      </c>
      <c r="E135" t="s">
        <v>217</v>
      </c>
      <c r="F135" s="35" t="s">
        <v>21</v>
      </c>
      <c r="G135" s="40" t="s">
        <v>22</v>
      </c>
      <c r="H135" s="40">
        <v>87001939</v>
      </c>
      <c r="I135" s="35" t="s">
        <v>157</v>
      </c>
      <c r="J135" s="42">
        <v>45624</v>
      </c>
      <c r="K135" s="37">
        <v>46387</v>
      </c>
      <c r="L135" s="35" t="s">
        <v>24</v>
      </c>
      <c r="M135" s="38">
        <v>258000</v>
      </c>
      <c r="N135" s="8">
        <v>1</v>
      </c>
      <c r="O135" s="6">
        <f t="shared" si="7"/>
        <v>258000</v>
      </c>
    </row>
    <row r="136" spans="1:16">
      <c r="A136" s="33" t="s">
        <v>390</v>
      </c>
      <c r="C136" s="34" t="s">
        <v>163</v>
      </c>
      <c r="D136" s="7" t="s">
        <v>129</v>
      </c>
      <c r="F136" s="35" t="s">
        <v>21</v>
      </c>
      <c r="G136" s="40" t="s">
        <v>22</v>
      </c>
      <c r="I136" s="35" t="s">
        <v>306</v>
      </c>
      <c r="L136" s="35" t="s">
        <v>24</v>
      </c>
      <c r="M136" s="38">
        <v>150000</v>
      </c>
      <c r="N136" s="8">
        <v>0.05</v>
      </c>
      <c r="O136" s="6">
        <f t="shared" si="7"/>
        <v>7500</v>
      </c>
    </row>
    <row r="137" spans="1:16">
      <c r="A137" t="s">
        <v>391</v>
      </c>
      <c r="B137" t="s">
        <v>392</v>
      </c>
      <c r="C137" s="34" t="s">
        <v>163</v>
      </c>
      <c r="D137" s="7" t="s">
        <v>129</v>
      </c>
      <c r="E137" t="s">
        <v>230</v>
      </c>
      <c r="F137" s="35" t="s">
        <v>21</v>
      </c>
      <c r="G137" s="40" t="s">
        <v>22</v>
      </c>
      <c r="H137" s="40">
        <v>87002055</v>
      </c>
      <c r="I137" s="35" t="s">
        <v>306</v>
      </c>
      <c r="J137" s="42">
        <v>46266</v>
      </c>
      <c r="K137" s="42">
        <v>46660</v>
      </c>
      <c r="L137" s="35" t="s">
        <v>24</v>
      </c>
      <c r="M137" s="38">
        <v>13000</v>
      </c>
      <c r="N137" s="8">
        <v>1</v>
      </c>
      <c r="O137" s="6">
        <f t="shared" si="7"/>
        <v>13000</v>
      </c>
    </row>
    <row r="138" spans="1:16">
      <c r="A138" t="s">
        <v>393</v>
      </c>
      <c r="B138" t="s">
        <v>393</v>
      </c>
      <c r="C138" s="34" t="s">
        <v>77</v>
      </c>
      <c r="D138" s="7" t="s">
        <v>53</v>
      </c>
      <c r="E138" t="s">
        <v>336</v>
      </c>
      <c r="F138" s="35" t="s">
        <v>55</v>
      </c>
      <c r="G138" s="40" t="s">
        <v>394</v>
      </c>
      <c r="H138" s="40" t="s">
        <v>395</v>
      </c>
      <c r="I138" s="35" t="s">
        <v>23</v>
      </c>
      <c r="J138" s="37">
        <v>45658</v>
      </c>
      <c r="K138" s="42">
        <v>46234</v>
      </c>
      <c r="L138" s="35" t="s">
        <v>39</v>
      </c>
      <c r="M138" s="38">
        <v>0</v>
      </c>
      <c r="N138" s="8">
        <v>1</v>
      </c>
      <c r="O138" s="6">
        <f t="shared" si="7"/>
        <v>0</v>
      </c>
      <c r="P138" t="s">
        <v>396</v>
      </c>
    </row>
    <row r="139" spans="1:16">
      <c r="A139" s="33" t="s">
        <v>397</v>
      </c>
      <c r="B139" t="s">
        <v>397</v>
      </c>
      <c r="C139" s="34" t="s">
        <v>77</v>
      </c>
      <c r="D139" s="7" t="s">
        <v>53</v>
      </c>
      <c r="E139" t="s">
        <v>264</v>
      </c>
      <c r="F139" s="35" t="s">
        <v>55</v>
      </c>
      <c r="G139" s="40" t="s">
        <v>265</v>
      </c>
      <c r="H139" s="40" t="s">
        <v>398</v>
      </c>
      <c r="I139" s="35" t="s">
        <v>23</v>
      </c>
      <c r="J139" s="42">
        <v>45627</v>
      </c>
      <c r="K139" s="42">
        <v>46387</v>
      </c>
      <c r="L139" s="35" t="s">
        <v>39</v>
      </c>
      <c r="M139" s="38">
        <v>197073</v>
      </c>
      <c r="N139" s="100">
        <v>1</v>
      </c>
      <c r="O139" s="6">
        <f t="shared" si="7"/>
        <v>197073</v>
      </c>
      <c r="P139" t="s">
        <v>372</v>
      </c>
    </row>
    <row r="140" spans="1:16">
      <c r="A140" t="s">
        <v>399</v>
      </c>
      <c r="B140" t="s">
        <v>349</v>
      </c>
      <c r="C140" s="34" t="s">
        <v>163</v>
      </c>
      <c r="D140" s="7" t="s">
        <v>53</v>
      </c>
      <c r="E140" t="s">
        <v>345</v>
      </c>
      <c r="F140" s="35" t="s">
        <v>55</v>
      </c>
      <c r="G140" s="40" t="s">
        <v>353</v>
      </c>
      <c r="H140" s="40" t="s">
        <v>400</v>
      </c>
      <c r="I140" s="35" t="s">
        <v>23</v>
      </c>
      <c r="J140" s="42">
        <v>46204</v>
      </c>
      <c r="K140" s="42">
        <v>46387</v>
      </c>
      <c r="L140" s="35" t="s">
        <v>120</v>
      </c>
      <c r="M140" s="38">
        <v>30022</v>
      </c>
      <c r="N140" s="100">
        <v>1</v>
      </c>
      <c r="O140" s="6">
        <f t="shared" si="7"/>
        <v>30022</v>
      </c>
      <c r="P140" t="s">
        <v>372</v>
      </c>
    </row>
    <row r="141" spans="1:16">
      <c r="A141" t="s">
        <v>401</v>
      </c>
      <c r="B141" t="s">
        <v>402</v>
      </c>
      <c r="C141" s="34" t="s">
        <v>77</v>
      </c>
      <c r="D141" s="7" t="s">
        <v>53</v>
      </c>
      <c r="E141" t="s">
        <v>336</v>
      </c>
      <c r="F141" s="35" t="s">
        <v>55</v>
      </c>
      <c r="G141" s="40" t="s">
        <v>403</v>
      </c>
      <c r="H141" s="40">
        <v>31321610</v>
      </c>
      <c r="I141" s="35" t="s">
        <v>23</v>
      </c>
      <c r="J141" s="42">
        <v>46023</v>
      </c>
      <c r="K141" s="42">
        <v>46387</v>
      </c>
      <c r="L141" s="35" t="s">
        <v>39</v>
      </c>
      <c r="M141" s="38">
        <v>12679.68</v>
      </c>
      <c r="N141" s="100">
        <v>1</v>
      </c>
      <c r="O141" s="6">
        <f t="shared" si="7"/>
        <v>12679.68</v>
      </c>
    </row>
    <row r="142" spans="1:16">
      <c r="A142" t="s">
        <v>404</v>
      </c>
      <c r="B142" t="s">
        <v>402</v>
      </c>
      <c r="C142" s="34" t="s">
        <v>77</v>
      </c>
      <c r="D142" s="7" t="s">
        <v>53</v>
      </c>
      <c r="E142" t="s">
        <v>336</v>
      </c>
      <c r="F142" s="35" t="s">
        <v>55</v>
      </c>
      <c r="G142" s="40" t="s">
        <v>405</v>
      </c>
      <c r="H142" s="40">
        <v>31321609</v>
      </c>
      <c r="I142" s="35" t="s">
        <v>23</v>
      </c>
      <c r="J142" s="42">
        <v>46023</v>
      </c>
      <c r="K142" s="42">
        <v>46387</v>
      </c>
      <c r="L142" s="35" t="s">
        <v>39</v>
      </c>
      <c r="M142" s="38">
        <v>10821.12</v>
      </c>
      <c r="N142" s="100">
        <v>1</v>
      </c>
      <c r="O142" s="6">
        <f t="shared" si="7"/>
        <v>10821.12</v>
      </c>
    </row>
    <row r="143" spans="1:16">
      <c r="A143" t="s">
        <v>406</v>
      </c>
      <c r="B143" t="s">
        <v>402</v>
      </c>
      <c r="C143" s="34" t="s">
        <v>77</v>
      </c>
      <c r="D143" s="7" t="s">
        <v>53</v>
      </c>
      <c r="E143" t="s">
        <v>336</v>
      </c>
      <c r="F143" s="35" t="s">
        <v>55</v>
      </c>
      <c r="G143" s="40" t="s">
        <v>407</v>
      </c>
      <c r="H143" s="40">
        <v>31321607</v>
      </c>
      <c r="I143" s="35" t="s">
        <v>23</v>
      </c>
      <c r="J143" s="42">
        <v>46023</v>
      </c>
      <c r="K143" s="42">
        <v>46387</v>
      </c>
      <c r="L143" s="35" t="s">
        <v>39</v>
      </c>
      <c r="M143" s="38">
        <v>6959.36</v>
      </c>
      <c r="N143" s="100">
        <v>1</v>
      </c>
      <c r="O143" s="6">
        <f t="shared" si="7"/>
        <v>6959.36</v>
      </c>
    </row>
    <row r="144" spans="1:16">
      <c r="A144" t="s">
        <v>408</v>
      </c>
      <c r="B144" t="s">
        <v>402</v>
      </c>
      <c r="C144" s="34" t="s">
        <v>77</v>
      </c>
      <c r="D144" s="7" t="s">
        <v>53</v>
      </c>
      <c r="E144" t="s">
        <v>336</v>
      </c>
      <c r="F144" s="35" t="s">
        <v>55</v>
      </c>
      <c r="G144" s="40" t="s">
        <v>409</v>
      </c>
      <c r="H144" s="40">
        <v>31321604</v>
      </c>
      <c r="I144" s="35" t="s">
        <v>23</v>
      </c>
      <c r="J144" s="42">
        <v>46023</v>
      </c>
      <c r="K144" s="42">
        <v>46387</v>
      </c>
      <c r="L144" s="35" t="s">
        <v>39</v>
      </c>
      <c r="M144" s="38">
        <v>5410.56</v>
      </c>
      <c r="N144" s="100">
        <v>1</v>
      </c>
      <c r="O144" s="6">
        <f t="shared" si="7"/>
        <v>5410.56</v>
      </c>
    </row>
    <row r="145" spans="1:16">
      <c r="A145" t="s">
        <v>410</v>
      </c>
      <c r="B145" t="s">
        <v>402</v>
      </c>
      <c r="C145" s="34" t="s">
        <v>77</v>
      </c>
      <c r="D145" s="7" t="s">
        <v>53</v>
      </c>
      <c r="E145" t="s">
        <v>336</v>
      </c>
      <c r="F145" s="35" t="s">
        <v>55</v>
      </c>
      <c r="G145" s="40" t="s">
        <v>411</v>
      </c>
      <c r="H145" s="40">
        <v>31321711</v>
      </c>
      <c r="I145" s="35" t="s">
        <v>23</v>
      </c>
      <c r="J145" s="42">
        <v>46023</v>
      </c>
      <c r="K145" s="42">
        <v>46387</v>
      </c>
      <c r="L145" s="35" t="s">
        <v>39</v>
      </c>
      <c r="M145" s="38">
        <v>4590.72</v>
      </c>
      <c r="N145" s="100">
        <v>1</v>
      </c>
      <c r="O145" s="6">
        <f t="shared" si="7"/>
        <v>4590.72</v>
      </c>
    </row>
    <row r="146" spans="1:16">
      <c r="A146" s="88" t="s">
        <v>412</v>
      </c>
      <c r="B146" s="88" t="s">
        <v>402</v>
      </c>
      <c r="C146" s="122" t="s">
        <v>77</v>
      </c>
      <c r="D146" s="44" t="s">
        <v>53</v>
      </c>
      <c r="E146" s="122" t="s">
        <v>336</v>
      </c>
      <c r="F146" s="123" t="s">
        <v>55</v>
      </c>
      <c r="G146" s="129" t="s">
        <v>413</v>
      </c>
      <c r="H146" s="129"/>
      <c r="I146" s="123" t="s">
        <v>384</v>
      </c>
      <c r="J146" s="128">
        <v>46023</v>
      </c>
      <c r="K146" s="128">
        <v>46387</v>
      </c>
      <c r="L146" s="123" t="s">
        <v>39</v>
      </c>
      <c r="M146" s="125">
        <v>3570.56</v>
      </c>
      <c r="N146" s="131">
        <v>0</v>
      </c>
      <c r="O146" s="6">
        <f t="shared" ref="O146:O168" si="8">M146*N146</f>
        <v>0</v>
      </c>
      <c r="P146" s="88" t="s">
        <v>414</v>
      </c>
    </row>
    <row r="147" spans="1:16">
      <c r="A147" t="s">
        <v>415</v>
      </c>
      <c r="B147" t="s">
        <v>402</v>
      </c>
      <c r="C147" s="34" t="s">
        <v>77</v>
      </c>
      <c r="D147" s="7" t="s">
        <v>53</v>
      </c>
      <c r="E147" t="s">
        <v>336</v>
      </c>
      <c r="F147" s="35" t="s">
        <v>55</v>
      </c>
      <c r="G147" s="40" t="s">
        <v>416</v>
      </c>
      <c r="H147" s="40">
        <v>31321597</v>
      </c>
      <c r="I147" s="35" t="s">
        <v>23</v>
      </c>
      <c r="J147" s="42">
        <v>46082</v>
      </c>
      <c r="K147" s="42">
        <v>46387</v>
      </c>
      <c r="L147" s="35" t="s">
        <v>39</v>
      </c>
      <c r="M147" s="38">
        <v>2040.32</v>
      </c>
      <c r="N147" s="100">
        <v>1</v>
      </c>
      <c r="O147" s="6">
        <f t="shared" si="8"/>
        <v>2040.32</v>
      </c>
    </row>
    <row r="148" spans="1:16">
      <c r="A148" t="s">
        <v>417</v>
      </c>
      <c r="B148" t="s">
        <v>402</v>
      </c>
      <c r="C148" s="34" t="s">
        <v>77</v>
      </c>
      <c r="D148" s="7" t="s">
        <v>53</v>
      </c>
      <c r="E148" t="s">
        <v>336</v>
      </c>
      <c r="F148" s="35" t="s">
        <v>55</v>
      </c>
      <c r="G148" s="40" t="s">
        <v>418</v>
      </c>
      <c r="H148" s="40">
        <v>31321710</v>
      </c>
      <c r="I148" s="35" t="s">
        <v>23</v>
      </c>
      <c r="J148" s="42">
        <v>46023</v>
      </c>
      <c r="K148" s="42">
        <v>46387</v>
      </c>
      <c r="L148" s="35" t="s">
        <v>39</v>
      </c>
      <c r="M148" s="38">
        <v>5720.32</v>
      </c>
      <c r="N148" s="100">
        <v>1</v>
      </c>
      <c r="O148" s="6">
        <f t="shared" si="8"/>
        <v>5720.32</v>
      </c>
    </row>
    <row r="149" spans="1:16">
      <c r="A149" t="s">
        <v>419</v>
      </c>
      <c r="B149" t="s">
        <v>402</v>
      </c>
      <c r="C149" s="34" t="s">
        <v>77</v>
      </c>
      <c r="D149" s="7" t="s">
        <v>53</v>
      </c>
      <c r="E149" t="s">
        <v>336</v>
      </c>
      <c r="F149" s="35" t="s">
        <v>55</v>
      </c>
      <c r="G149" s="40" t="s">
        <v>420</v>
      </c>
      <c r="H149" s="40">
        <v>31321708</v>
      </c>
      <c r="I149" s="35" t="s">
        <v>23</v>
      </c>
      <c r="J149" s="42">
        <v>46023</v>
      </c>
      <c r="K149" s="42">
        <v>46387</v>
      </c>
      <c r="L149" s="35" t="s">
        <v>39</v>
      </c>
      <c r="M149" s="38">
        <v>8161</v>
      </c>
      <c r="N149" s="100">
        <v>1</v>
      </c>
      <c r="O149" s="6">
        <f t="shared" si="8"/>
        <v>8161</v>
      </c>
    </row>
    <row r="150" spans="1:16">
      <c r="A150" t="s">
        <v>421</v>
      </c>
      <c r="B150" t="s">
        <v>402</v>
      </c>
      <c r="C150" s="34" t="s">
        <v>77</v>
      </c>
      <c r="D150" s="7" t="s">
        <v>53</v>
      </c>
      <c r="E150" t="s">
        <v>336</v>
      </c>
      <c r="F150" s="35" t="s">
        <v>55</v>
      </c>
      <c r="G150" s="40" t="s">
        <v>422</v>
      </c>
      <c r="H150" s="40">
        <v>31321598</v>
      </c>
      <c r="I150" s="35" t="s">
        <v>23</v>
      </c>
      <c r="J150" s="42">
        <v>46023</v>
      </c>
      <c r="K150" s="42">
        <v>46387</v>
      </c>
      <c r="L150" s="35" t="s">
        <v>39</v>
      </c>
      <c r="M150" s="38">
        <v>5100.8</v>
      </c>
      <c r="N150" s="100">
        <v>1</v>
      </c>
      <c r="O150" s="6">
        <f t="shared" si="8"/>
        <v>5100.8</v>
      </c>
    </row>
    <row r="151" spans="1:16">
      <c r="A151" t="s">
        <v>423</v>
      </c>
      <c r="B151" t="s">
        <v>402</v>
      </c>
      <c r="C151" s="34" t="s">
        <v>77</v>
      </c>
      <c r="D151" s="7" t="s">
        <v>53</v>
      </c>
      <c r="E151" t="s">
        <v>336</v>
      </c>
      <c r="F151" s="35" t="s">
        <v>55</v>
      </c>
      <c r="G151" s="40" t="s">
        <v>424</v>
      </c>
      <c r="H151" s="40">
        <v>31321599</v>
      </c>
      <c r="I151" s="35" t="s">
        <v>23</v>
      </c>
      <c r="J151" s="42">
        <v>46023</v>
      </c>
      <c r="K151" s="42">
        <v>46387</v>
      </c>
      <c r="L151" s="35" t="s">
        <v>39</v>
      </c>
      <c r="M151" s="38">
        <v>5100.8</v>
      </c>
      <c r="N151" s="100">
        <v>1</v>
      </c>
      <c r="O151" s="6">
        <f t="shared" si="8"/>
        <v>5100.8</v>
      </c>
    </row>
    <row r="152" spans="1:16">
      <c r="A152" t="s">
        <v>425</v>
      </c>
      <c r="B152" t="s">
        <v>402</v>
      </c>
      <c r="C152" s="34" t="s">
        <v>77</v>
      </c>
      <c r="D152" s="7" t="s">
        <v>53</v>
      </c>
      <c r="E152" t="s">
        <v>336</v>
      </c>
      <c r="F152" s="35" t="s">
        <v>55</v>
      </c>
      <c r="G152" s="40" t="s">
        <v>426</v>
      </c>
      <c r="H152" s="40">
        <v>31321603</v>
      </c>
      <c r="I152" s="35" t="s">
        <v>23</v>
      </c>
      <c r="J152" s="42">
        <v>46023</v>
      </c>
      <c r="K152" s="42">
        <v>46387</v>
      </c>
      <c r="L152" s="35" t="s">
        <v>39</v>
      </c>
      <c r="M152" s="38">
        <v>10201.6</v>
      </c>
      <c r="N152" s="100">
        <v>1</v>
      </c>
      <c r="O152" s="6">
        <f t="shared" si="8"/>
        <v>10201.6</v>
      </c>
    </row>
    <row r="153" spans="1:16">
      <c r="A153" t="s">
        <v>427</v>
      </c>
      <c r="B153" t="s">
        <v>402</v>
      </c>
      <c r="C153" s="34" t="s">
        <v>77</v>
      </c>
      <c r="D153" s="7" t="s">
        <v>53</v>
      </c>
      <c r="E153" t="s">
        <v>336</v>
      </c>
      <c r="F153" s="35" t="s">
        <v>55</v>
      </c>
      <c r="G153" s="40" t="s">
        <v>428</v>
      </c>
      <c r="H153" s="40">
        <v>31321612</v>
      </c>
      <c r="I153" s="35" t="s">
        <v>23</v>
      </c>
      <c r="J153" s="42">
        <v>46023</v>
      </c>
      <c r="K153" s="42">
        <v>46387</v>
      </c>
      <c r="L153" s="35" t="s">
        <v>39</v>
      </c>
      <c r="M153" s="38">
        <v>5410.56</v>
      </c>
      <c r="N153" s="100">
        <v>1</v>
      </c>
      <c r="O153" s="6">
        <f t="shared" si="8"/>
        <v>5410.56</v>
      </c>
    </row>
    <row r="154" spans="1:16">
      <c r="A154" s="88" t="s">
        <v>429</v>
      </c>
      <c r="B154" s="88" t="s">
        <v>402</v>
      </c>
      <c r="C154" s="122" t="s">
        <v>77</v>
      </c>
      <c r="D154" s="44" t="s">
        <v>53</v>
      </c>
      <c r="E154" s="122" t="s">
        <v>336</v>
      </c>
      <c r="F154" s="123" t="s">
        <v>55</v>
      </c>
      <c r="G154" s="129" t="s">
        <v>430</v>
      </c>
      <c r="H154" s="129"/>
      <c r="I154" s="123" t="s">
        <v>384</v>
      </c>
      <c r="J154" s="128">
        <v>46023</v>
      </c>
      <c r="K154" s="128">
        <v>46387</v>
      </c>
      <c r="L154" s="123" t="s">
        <v>39</v>
      </c>
      <c r="M154" s="125">
        <v>5100.8</v>
      </c>
      <c r="N154" s="131">
        <v>0</v>
      </c>
      <c r="O154" s="6">
        <f t="shared" si="8"/>
        <v>0</v>
      </c>
      <c r="P154" s="88" t="s">
        <v>414</v>
      </c>
    </row>
    <row r="155" spans="1:16">
      <c r="A155" t="s">
        <v>431</v>
      </c>
      <c r="B155" t="s">
        <v>402</v>
      </c>
      <c r="C155" s="34" t="s">
        <v>77</v>
      </c>
      <c r="D155" s="7" t="s">
        <v>53</v>
      </c>
      <c r="E155" t="s">
        <v>336</v>
      </c>
      <c r="F155" s="35" t="s">
        <v>55</v>
      </c>
      <c r="G155" s="40" t="s">
        <v>432</v>
      </c>
      <c r="H155" s="40">
        <v>31321602</v>
      </c>
      <c r="I155" s="35" t="s">
        <v>23</v>
      </c>
      <c r="J155" s="42">
        <v>46023</v>
      </c>
      <c r="K155" s="42">
        <v>46387</v>
      </c>
      <c r="L155" s="35" t="s">
        <v>39</v>
      </c>
      <c r="M155" s="38">
        <v>5410.56</v>
      </c>
      <c r="N155" s="100">
        <v>1</v>
      </c>
      <c r="O155" s="6">
        <f t="shared" si="8"/>
        <v>5410.56</v>
      </c>
    </row>
    <row r="156" spans="1:16">
      <c r="A156" t="s">
        <v>433</v>
      </c>
      <c r="B156" t="s">
        <v>402</v>
      </c>
      <c r="C156" s="34" t="s">
        <v>77</v>
      </c>
      <c r="D156" s="7" t="s">
        <v>53</v>
      </c>
      <c r="E156" t="s">
        <v>336</v>
      </c>
      <c r="F156" s="35" t="s">
        <v>55</v>
      </c>
      <c r="G156" s="40" t="s">
        <v>434</v>
      </c>
      <c r="H156" s="40">
        <v>31321601</v>
      </c>
      <c r="I156" s="35" t="s">
        <v>23</v>
      </c>
      <c r="J156" s="42">
        <v>46023</v>
      </c>
      <c r="K156" s="42">
        <v>46387</v>
      </c>
      <c r="L156" s="35" t="s">
        <v>39</v>
      </c>
      <c r="M156" s="38">
        <v>2860.16</v>
      </c>
      <c r="N156" s="100">
        <v>1</v>
      </c>
      <c r="O156" s="6">
        <f t="shared" si="8"/>
        <v>2860.16</v>
      </c>
    </row>
    <row r="157" spans="1:16">
      <c r="A157" t="s">
        <v>435</v>
      </c>
      <c r="B157" t="s">
        <v>402</v>
      </c>
      <c r="C157" s="34" t="s">
        <v>77</v>
      </c>
      <c r="D157" s="7" t="s">
        <v>53</v>
      </c>
      <c r="E157" t="s">
        <v>336</v>
      </c>
      <c r="F157" s="35" t="s">
        <v>55</v>
      </c>
      <c r="G157" s="40" t="s">
        <v>436</v>
      </c>
      <c r="H157" s="40">
        <v>31321605</v>
      </c>
      <c r="I157" s="35" t="s">
        <v>23</v>
      </c>
      <c r="J157" s="42">
        <v>46023</v>
      </c>
      <c r="K157" s="42">
        <v>46387</v>
      </c>
      <c r="L157" s="35" t="s">
        <v>39</v>
      </c>
      <c r="M157" s="38">
        <v>2550.4</v>
      </c>
      <c r="N157" s="100">
        <v>1</v>
      </c>
      <c r="O157" s="6">
        <f t="shared" si="8"/>
        <v>2550.4</v>
      </c>
    </row>
    <row r="158" spans="1:16">
      <c r="A158" t="s">
        <v>437</v>
      </c>
      <c r="B158" t="s">
        <v>402</v>
      </c>
      <c r="C158" s="34" t="s">
        <v>77</v>
      </c>
      <c r="D158" s="7" t="s">
        <v>53</v>
      </c>
      <c r="E158" t="s">
        <v>336</v>
      </c>
      <c r="F158" s="35" t="s">
        <v>55</v>
      </c>
      <c r="G158" s="40" t="s">
        <v>438</v>
      </c>
      <c r="H158" s="40">
        <v>31321611</v>
      </c>
      <c r="I158" s="35" t="s">
        <v>23</v>
      </c>
      <c r="J158" s="42">
        <v>46023</v>
      </c>
      <c r="K158" s="42">
        <v>46387</v>
      </c>
      <c r="L158" s="35" t="s">
        <v>39</v>
      </c>
      <c r="M158" s="38">
        <v>2550.4</v>
      </c>
      <c r="N158" s="100">
        <v>1</v>
      </c>
      <c r="O158" s="6">
        <f t="shared" si="8"/>
        <v>2550.4</v>
      </c>
    </row>
    <row r="159" spans="1:16">
      <c r="A159" t="s">
        <v>439</v>
      </c>
      <c r="B159" t="s">
        <v>402</v>
      </c>
      <c r="C159" s="34" t="s">
        <v>77</v>
      </c>
      <c r="D159" s="7" t="s">
        <v>53</v>
      </c>
      <c r="E159" t="s">
        <v>336</v>
      </c>
      <c r="F159" s="35" t="s">
        <v>55</v>
      </c>
      <c r="G159" s="40" t="s">
        <v>440</v>
      </c>
      <c r="H159" s="40">
        <v>31321600</v>
      </c>
      <c r="I159" s="35" t="s">
        <v>23</v>
      </c>
      <c r="J159" s="42">
        <v>46023</v>
      </c>
      <c r="K159" s="42">
        <v>46387</v>
      </c>
      <c r="L159" s="35" t="s">
        <v>39</v>
      </c>
      <c r="M159" s="38">
        <v>2860.16</v>
      </c>
      <c r="N159" s="100">
        <v>1</v>
      </c>
      <c r="O159" s="6">
        <f t="shared" si="8"/>
        <v>2860.16</v>
      </c>
    </row>
    <row r="160" spans="1:16">
      <c r="A160" t="s">
        <v>441</v>
      </c>
      <c r="B160" t="s">
        <v>441</v>
      </c>
      <c r="C160" s="34" t="s">
        <v>77</v>
      </c>
      <c r="D160" s="7" t="s">
        <v>129</v>
      </c>
      <c r="E160" t="s">
        <v>336</v>
      </c>
      <c r="F160" s="35" t="s">
        <v>55</v>
      </c>
      <c r="G160" s="40" t="s">
        <v>442</v>
      </c>
      <c r="H160" s="40">
        <v>31319825</v>
      </c>
      <c r="I160" s="35" t="s">
        <v>23</v>
      </c>
      <c r="J160" s="42">
        <v>46023</v>
      </c>
      <c r="K160" s="42">
        <v>46234</v>
      </c>
      <c r="L160" s="35" t="s">
        <v>191</v>
      </c>
      <c r="M160" s="38">
        <v>2854</v>
      </c>
      <c r="N160" s="100">
        <v>1</v>
      </c>
      <c r="O160" s="6">
        <f t="shared" si="8"/>
        <v>2854</v>
      </c>
    </row>
    <row r="161" spans="1:16">
      <c r="A161" t="s">
        <v>443</v>
      </c>
      <c r="B161" t="s">
        <v>443</v>
      </c>
      <c r="C161" s="34" t="s">
        <v>163</v>
      </c>
      <c r="D161" s="7" t="s">
        <v>129</v>
      </c>
      <c r="E161" t="s">
        <v>444</v>
      </c>
      <c r="F161" s="35" t="s">
        <v>21</v>
      </c>
      <c r="G161" s="40" t="s">
        <v>22</v>
      </c>
      <c r="H161" s="40">
        <v>87002038</v>
      </c>
      <c r="I161" s="35" t="s">
        <v>23</v>
      </c>
      <c r="J161" s="42">
        <v>46068</v>
      </c>
      <c r="K161" s="42">
        <v>46387</v>
      </c>
      <c r="L161" s="35" t="s">
        <v>24</v>
      </c>
      <c r="M161" s="38">
        <v>46888</v>
      </c>
      <c r="N161" s="100">
        <v>1</v>
      </c>
      <c r="O161" s="6">
        <f t="shared" si="8"/>
        <v>46888</v>
      </c>
      <c r="P161" t="s">
        <v>445</v>
      </c>
    </row>
    <row r="162" spans="1:16">
      <c r="A162" t="s">
        <v>446</v>
      </c>
      <c r="B162" t="s">
        <v>795</v>
      </c>
      <c r="C162" s="34" t="s">
        <v>163</v>
      </c>
      <c r="D162" s="7" t="s">
        <v>129</v>
      </c>
      <c r="E162" t="s">
        <v>196</v>
      </c>
      <c r="F162" s="40" t="s">
        <v>21</v>
      </c>
      <c r="G162" s="40" t="s">
        <v>22</v>
      </c>
      <c r="H162" s="40">
        <v>87002052</v>
      </c>
      <c r="I162" s="35" t="s">
        <v>23</v>
      </c>
      <c r="J162" s="42">
        <v>46101</v>
      </c>
      <c r="K162" s="42">
        <v>46387</v>
      </c>
      <c r="L162" s="35" t="s">
        <v>24</v>
      </c>
      <c r="M162" s="38">
        <v>151060</v>
      </c>
      <c r="N162" s="100">
        <v>1</v>
      </c>
      <c r="O162" s="6">
        <f t="shared" si="8"/>
        <v>151060</v>
      </c>
      <c r="P162" t="s">
        <v>447</v>
      </c>
    </row>
    <row r="163" spans="1:16">
      <c r="A163" t="s">
        <v>448</v>
      </c>
      <c r="B163" t="s">
        <v>448</v>
      </c>
      <c r="C163" s="34" t="s">
        <v>52</v>
      </c>
      <c r="D163" s="7" t="s">
        <v>18</v>
      </c>
      <c r="E163" t="s">
        <v>149</v>
      </c>
      <c r="F163" s="40" t="s">
        <v>55</v>
      </c>
      <c r="G163" s="40" t="s">
        <v>449</v>
      </c>
      <c r="H163" s="40">
        <v>31321740</v>
      </c>
      <c r="I163" s="35" t="s">
        <v>23</v>
      </c>
      <c r="J163" s="37">
        <v>46113</v>
      </c>
      <c r="K163" s="37">
        <v>46233</v>
      </c>
      <c r="L163" s="35" t="s">
        <v>60</v>
      </c>
      <c r="M163" s="38">
        <v>11900</v>
      </c>
      <c r="N163" s="100">
        <v>1</v>
      </c>
      <c r="O163" s="6">
        <f t="shared" si="8"/>
        <v>11900</v>
      </c>
    </row>
    <row r="164" spans="1:16">
      <c r="A164" t="s">
        <v>450</v>
      </c>
      <c r="B164" t="s">
        <v>450</v>
      </c>
      <c r="C164" s="34" t="s">
        <v>18</v>
      </c>
      <c r="D164" s="7" t="s">
        <v>18</v>
      </c>
      <c r="E164" t="s">
        <v>451</v>
      </c>
      <c r="F164" s="40" t="s">
        <v>55</v>
      </c>
      <c r="G164" s="40" t="s">
        <v>452</v>
      </c>
      <c r="H164" s="40">
        <v>31321899</v>
      </c>
      <c r="I164" s="35" t="s">
        <v>31</v>
      </c>
      <c r="J164" s="42">
        <v>46113</v>
      </c>
      <c r="K164" s="42">
        <v>46173</v>
      </c>
      <c r="L164" s="35" t="s">
        <v>120</v>
      </c>
      <c r="M164" s="38">
        <v>93772</v>
      </c>
      <c r="N164" s="100">
        <v>1</v>
      </c>
      <c r="O164" s="6">
        <f t="shared" si="8"/>
        <v>93772</v>
      </c>
    </row>
    <row r="165" spans="1:16">
      <c r="A165" t="s">
        <v>453</v>
      </c>
      <c r="B165" t="s">
        <v>453</v>
      </c>
      <c r="C165" s="34" t="s">
        <v>18</v>
      </c>
      <c r="D165" s="7" t="s">
        <v>18</v>
      </c>
      <c r="E165" t="s">
        <v>451</v>
      </c>
      <c r="F165" s="40" t="s">
        <v>55</v>
      </c>
      <c r="G165" s="40" t="s">
        <v>454</v>
      </c>
      <c r="H165" s="40">
        <v>31321974</v>
      </c>
      <c r="I165" s="35" t="s">
        <v>31</v>
      </c>
      <c r="J165" s="42">
        <v>46113</v>
      </c>
      <c r="K165" s="42">
        <v>46173</v>
      </c>
      <c r="L165" s="35" t="s">
        <v>120</v>
      </c>
      <c r="M165" s="38">
        <v>12008</v>
      </c>
      <c r="N165" s="100">
        <v>1</v>
      </c>
      <c r="O165" s="6">
        <f t="shared" si="8"/>
        <v>12008</v>
      </c>
      <c r="P165" t="s">
        <v>455</v>
      </c>
    </row>
    <row r="166" spans="1:16">
      <c r="A166" t="s">
        <v>456</v>
      </c>
      <c r="B166" t="s">
        <v>456</v>
      </c>
      <c r="C166" s="34" t="s">
        <v>18</v>
      </c>
      <c r="D166" s="7" t="s">
        <v>18</v>
      </c>
      <c r="E166" t="s">
        <v>201</v>
      </c>
      <c r="F166" s="40" t="s">
        <v>55</v>
      </c>
      <c r="G166" s="40" t="s">
        <v>457</v>
      </c>
      <c r="H166" s="40">
        <v>31321809</v>
      </c>
      <c r="I166" s="35" t="s">
        <v>23</v>
      </c>
      <c r="J166" s="42">
        <v>46113</v>
      </c>
      <c r="K166" s="42">
        <v>46752</v>
      </c>
      <c r="L166" s="35" t="s">
        <v>39</v>
      </c>
      <c r="M166" s="38">
        <v>327360</v>
      </c>
      <c r="N166" s="100">
        <v>1</v>
      </c>
      <c r="O166" s="6">
        <f t="shared" si="8"/>
        <v>327360</v>
      </c>
      <c r="P166" t="s">
        <v>206</v>
      </c>
    </row>
    <row r="167" spans="1:16">
      <c r="A167" t="s">
        <v>458</v>
      </c>
      <c r="B167" t="s">
        <v>458</v>
      </c>
      <c r="C167" s="34" t="s">
        <v>18</v>
      </c>
      <c r="D167" s="7" t="s">
        <v>18</v>
      </c>
      <c r="E167" t="s">
        <v>325</v>
      </c>
      <c r="F167" s="40" t="s">
        <v>55</v>
      </c>
      <c r="G167" s="40" t="s">
        <v>459</v>
      </c>
      <c r="H167" s="40">
        <v>31322131</v>
      </c>
      <c r="I167" s="35" t="s">
        <v>23</v>
      </c>
      <c r="J167" s="42">
        <v>46113</v>
      </c>
      <c r="K167" s="42">
        <v>46356</v>
      </c>
      <c r="L167" s="35" t="s">
        <v>60</v>
      </c>
      <c r="M167" s="38">
        <v>114554</v>
      </c>
      <c r="N167" s="100">
        <v>1</v>
      </c>
      <c r="O167" s="6">
        <f t="shared" si="8"/>
        <v>114554</v>
      </c>
      <c r="P167" t="s">
        <v>455</v>
      </c>
    </row>
    <row r="168" spans="1:16">
      <c r="A168" t="s">
        <v>460</v>
      </c>
      <c r="B168" t="s">
        <v>794</v>
      </c>
      <c r="C168" s="34" t="s">
        <v>163</v>
      </c>
      <c r="D168" s="7" t="s">
        <v>53</v>
      </c>
      <c r="E168" t="s">
        <v>172</v>
      </c>
      <c r="F168" s="40" t="s">
        <v>55</v>
      </c>
      <c r="G168" s="40" t="s">
        <v>461</v>
      </c>
      <c r="H168" s="40">
        <v>31322625</v>
      </c>
      <c r="I168" s="35" t="s">
        <v>23</v>
      </c>
      <c r="J168" s="42">
        <v>46174</v>
      </c>
      <c r="K168" s="42">
        <v>46752</v>
      </c>
      <c r="L168" s="35" t="s">
        <v>191</v>
      </c>
      <c r="M168" s="38">
        <v>42861.279999999999</v>
      </c>
      <c r="N168" s="100">
        <v>1</v>
      </c>
      <c r="O168" s="6">
        <f t="shared" si="8"/>
        <v>42861.279999999999</v>
      </c>
    </row>
    <row r="169" spans="1:16">
      <c r="A169" t="s">
        <v>462</v>
      </c>
      <c r="B169" t="s">
        <v>462</v>
      </c>
      <c r="C169" s="34" t="s">
        <v>52</v>
      </c>
      <c r="D169" s="7" t="s">
        <v>18</v>
      </c>
      <c r="E169" t="s">
        <v>149</v>
      </c>
      <c r="F169" s="40" t="s">
        <v>55</v>
      </c>
      <c r="G169" s="40" t="s">
        <v>463</v>
      </c>
      <c r="H169" s="40">
        <v>31322220</v>
      </c>
      <c r="I169" s="35" t="s">
        <v>306</v>
      </c>
      <c r="J169" s="42">
        <v>46143</v>
      </c>
      <c r="K169" s="42">
        <v>46203</v>
      </c>
      <c r="L169" s="35" t="s">
        <v>120</v>
      </c>
      <c r="M169" s="38">
        <v>7932.8</v>
      </c>
      <c r="N169" s="100">
        <v>1</v>
      </c>
      <c r="O169" s="6">
        <f t="shared" ref="O169:O174" si="9">M169*N169</f>
        <v>7932.8</v>
      </c>
      <c r="P169" t="s">
        <v>464</v>
      </c>
    </row>
    <row r="170" spans="1:16">
      <c r="A170" t="s">
        <v>465</v>
      </c>
      <c r="B170" t="s">
        <v>465</v>
      </c>
      <c r="C170" s="34" t="s">
        <v>77</v>
      </c>
      <c r="D170" s="7" t="s">
        <v>18</v>
      </c>
      <c r="E170" t="s">
        <v>264</v>
      </c>
      <c r="F170" s="40" t="s">
        <v>55</v>
      </c>
      <c r="G170" s="40" t="s">
        <v>466</v>
      </c>
      <c r="H170" s="40">
        <v>31322939</v>
      </c>
      <c r="I170" s="35" t="s">
        <v>23</v>
      </c>
      <c r="J170" s="42">
        <v>46143</v>
      </c>
      <c r="K170" s="42">
        <v>46326</v>
      </c>
      <c r="L170" s="35" t="s">
        <v>60</v>
      </c>
      <c r="M170" s="38">
        <v>56108.800000000003</v>
      </c>
      <c r="N170" s="100">
        <v>1</v>
      </c>
      <c r="O170" s="6">
        <f t="shared" si="9"/>
        <v>56108.800000000003</v>
      </c>
    </row>
    <row r="171" spans="1:16">
      <c r="A171" t="s">
        <v>467</v>
      </c>
      <c r="B171" t="s">
        <v>467</v>
      </c>
      <c r="C171" s="34" t="s">
        <v>77</v>
      </c>
      <c r="D171" s="7" t="s">
        <v>18</v>
      </c>
      <c r="E171" t="s">
        <v>289</v>
      </c>
      <c r="F171" s="40" t="s">
        <v>55</v>
      </c>
      <c r="G171" s="40" t="s">
        <v>468</v>
      </c>
      <c r="H171" s="117">
        <v>31322381</v>
      </c>
      <c r="I171" s="35" t="s">
        <v>23</v>
      </c>
      <c r="J171" s="42">
        <v>46122</v>
      </c>
      <c r="K171" s="42">
        <v>46234</v>
      </c>
      <c r="L171" s="35" t="s">
        <v>191</v>
      </c>
      <c r="M171" s="38">
        <v>4080.64</v>
      </c>
      <c r="N171" s="100">
        <v>1</v>
      </c>
      <c r="O171" s="6">
        <f t="shared" si="9"/>
        <v>4080.64</v>
      </c>
    </row>
    <row r="172" spans="1:16">
      <c r="A172" t="s">
        <v>469</v>
      </c>
      <c r="B172" t="s">
        <v>469</v>
      </c>
      <c r="C172" s="34" t="s">
        <v>52</v>
      </c>
      <c r="D172" s="7" t="s">
        <v>129</v>
      </c>
      <c r="E172" s="7" t="s">
        <v>83</v>
      </c>
      <c r="F172" s="40" t="s">
        <v>55</v>
      </c>
      <c r="G172" s="40" t="s">
        <v>470</v>
      </c>
      <c r="H172" s="36">
        <v>31322406</v>
      </c>
      <c r="I172" s="35" t="s">
        <v>23</v>
      </c>
      <c r="J172" s="42">
        <v>46113</v>
      </c>
      <c r="K172" s="42">
        <v>46265</v>
      </c>
      <c r="L172" s="35" t="s">
        <v>39</v>
      </c>
      <c r="M172" s="38">
        <v>0</v>
      </c>
      <c r="N172" s="100">
        <v>1</v>
      </c>
      <c r="O172" s="6">
        <f t="shared" si="9"/>
        <v>0</v>
      </c>
      <c r="P172" t="s">
        <v>471</v>
      </c>
    </row>
    <row r="173" spans="1:16">
      <c r="A173" t="s">
        <v>472</v>
      </c>
      <c r="B173" t="s">
        <v>472</v>
      </c>
      <c r="C173" s="34" t="s">
        <v>52</v>
      </c>
      <c r="D173" s="7" t="s">
        <v>129</v>
      </c>
      <c r="E173" s="7" t="s">
        <v>83</v>
      </c>
      <c r="F173" s="40" t="s">
        <v>55</v>
      </c>
      <c r="G173" s="40" t="s">
        <v>473</v>
      </c>
      <c r="H173" s="36">
        <v>31322407</v>
      </c>
      <c r="I173" s="35" t="s">
        <v>23</v>
      </c>
      <c r="J173" s="42">
        <v>46113</v>
      </c>
      <c r="K173" s="42">
        <v>46234</v>
      </c>
      <c r="L173" s="35" t="s">
        <v>39</v>
      </c>
      <c r="M173" s="38">
        <v>0</v>
      </c>
      <c r="N173" s="100">
        <v>1</v>
      </c>
      <c r="O173" s="6">
        <f t="shared" si="9"/>
        <v>0</v>
      </c>
      <c r="P173" t="s">
        <v>471</v>
      </c>
    </row>
    <row r="174" spans="1:16">
      <c r="A174" t="s">
        <v>474</v>
      </c>
      <c r="B174" t="s">
        <v>474</v>
      </c>
      <c r="C174" s="34" t="s">
        <v>52</v>
      </c>
      <c r="D174" s="7" t="s">
        <v>18</v>
      </c>
      <c r="E174" s="7" t="s">
        <v>362</v>
      </c>
      <c r="F174" s="35" t="s">
        <v>55</v>
      </c>
      <c r="G174" s="35" t="s">
        <v>475</v>
      </c>
      <c r="H174" s="36">
        <v>31322651</v>
      </c>
      <c r="I174" s="35" t="s">
        <v>23</v>
      </c>
      <c r="J174" s="37">
        <v>46023</v>
      </c>
      <c r="K174" s="37">
        <v>46387</v>
      </c>
      <c r="L174" s="35" t="s">
        <v>39</v>
      </c>
      <c r="M174" s="38">
        <v>14234</v>
      </c>
      <c r="N174" s="8">
        <v>1</v>
      </c>
      <c r="O174" s="6">
        <f t="shared" si="9"/>
        <v>14234</v>
      </c>
    </row>
    <row r="175" spans="1:16" ht="16">
      <c r="A175" t="s">
        <v>476</v>
      </c>
      <c r="B175" t="s">
        <v>476</v>
      </c>
      <c r="C175" t="s">
        <v>163</v>
      </c>
      <c r="D175" s="7" t="s">
        <v>129</v>
      </c>
      <c r="E175" t="s">
        <v>164</v>
      </c>
      <c r="F175" s="132" t="s">
        <v>55</v>
      </c>
      <c r="G175" s="40" t="s">
        <v>477</v>
      </c>
      <c r="I175" s="35" t="s">
        <v>306</v>
      </c>
      <c r="J175" s="42">
        <v>46204</v>
      </c>
      <c r="K175" s="42">
        <v>46341</v>
      </c>
      <c r="L175" s="35" t="s">
        <v>39</v>
      </c>
      <c r="M175" s="38">
        <v>29148</v>
      </c>
      <c r="N175" s="8">
        <v>1</v>
      </c>
      <c r="O175" s="6">
        <f>M175*N175</f>
        <v>29148</v>
      </c>
    </row>
    <row r="176" spans="1:16">
      <c r="A176" t="s">
        <v>478</v>
      </c>
      <c r="B176" t="s">
        <v>478</v>
      </c>
      <c r="C176" s="34" t="s">
        <v>18</v>
      </c>
      <c r="D176" s="7" t="s">
        <v>18</v>
      </c>
      <c r="E176" s="7" t="s">
        <v>479</v>
      </c>
      <c r="F176" s="40" t="s">
        <v>21</v>
      </c>
      <c r="G176" s="40" t="s">
        <v>314</v>
      </c>
      <c r="I176" s="35" t="s">
        <v>306</v>
      </c>
      <c r="J176" s="37">
        <v>46188</v>
      </c>
      <c r="K176" s="37">
        <v>46295</v>
      </c>
      <c r="L176" s="35" t="s">
        <v>24</v>
      </c>
      <c r="M176" s="38">
        <v>0</v>
      </c>
      <c r="N176" s="8">
        <v>1</v>
      </c>
      <c r="O176" s="6">
        <f>M176*N176</f>
        <v>0</v>
      </c>
      <c r="P176" t="s">
        <v>480</v>
      </c>
    </row>
    <row r="177" spans="1:16">
      <c r="A177" t="s">
        <v>481</v>
      </c>
      <c r="B177" t="s">
        <v>450</v>
      </c>
      <c r="C177" s="34" t="s">
        <v>18</v>
      </c>
      <c r="D177" s="7" t="s">
        <v>18</v>
      </c>
      <c r="E177" s="7" t="s">
        <v>451</v>
      </c>
      <c r="F177" s="40" t="s">
        <v>55</v>
      </c>
      <c r="G177" s="40" t="s">
        <v>482</v>
      </c>
      <c r="H177" s="36">
        <v>31322674</v>
      </c>
      <c r="I177" s="35" t="s">
        <v>23</v>
      </c>
      <c r="J177" s="42">
        <v>46174</v>
      </c>
      <c r="K177" s="37">
        <v>46234</v>
      </c>
      <c r="L177" s="35" t="s">
        <v>120</v>
      </c>
      <c r="M177" s="38">
        <v>86549</v>
      </c>
      <c r="N177" s="8">
        <v>1</v>
      </c>
      <c r="O177" s="6">
        <f>M177*N177</f>
        <v>86549</v>
      </c>
    </row>
    <row r="178" spans="1:16">
      <c r="A178" t="s">
        <v>483</v>
      </c>
      <c r="B178" t="s">
        <v>483</v>
      </c>
      <c r="C178" s="34" t="s">
        <v>18</v>
      </c>
      <c r="D178" s="7" t="s">
        <v>18</v>
      </c>
      <c r="E178" s="7" t="s">
        <v>250</v>
      </c>
      <c r="F178" s="35" t="s">
        <v>21</v>
      </c>
      <c r="G178" s="40" t="s">
        <v>22</v>
      </c>
      <c r="H178" s="36">
        <v>89101178</v>
      </c>
      <c r="I178" s="35" t="s">
        <v>23</v>
      </c>
      <c r="J178" s="37">
        <v>46204</v>
      </c>
      <c r="K178" s="37">
        <v>46325</v>
      </c>
      <c r="L178" s="35" t="s">
        <v>35</v>
      </c>
      <c r="M178" s="38">
        <v>0</v>
      </c>
      <c r="N178" s="47">
        <v>1</v>
      </c>
      <c r="O178" s="6">
        <f t="shared" ref="O178:O179" si="10">M178*N178</f>
        <v>0</v>
      </c>
      <c r="P178" t="s">
        <v>251</v>
      </c>
    </row>
    <row r="179" spans="1:16">
      <c r="A179" t="s">
        <v>484</v>
      </c>
      <c r="B179" t="s">
        <v>485</v>
      </c>
      <c r="C179" s="34" t="s">
        <v>18</v>
      </c>
      <c r="D179" s="7" t="s">
        <v>19</v>
      </c>
      <c r="E179" s="7" t="s">
        <v>250</v>
      </c>
      <c r="F179" s="40" t="s">
        <v>21</v>
      </c>
      <c r="G179" s="40" t="s">
        <v>22</v>
      </c>
      <c r="H179" s="40">
        <v>89100541</v>
      </c>
      <c r="I179" s="35" t="s">
        <v>23</v>
      </c>
      <c r="J179" s="37">
        <v>46188</v>
      </c>
      <c r="K179" s="37">
        <v>46387</v>
      </c>
      <c r="L179" s="35" t="s">
        <v>35</v>
      </c>
      <c r="M179" s="38">
        <v>0</v>
      </c>
      <c r="N179" s="47">
        <v>1</v>
      </c>
      <c r="O179" s="6">
        <f t="shared" si="10"/>
        <v>0</v>
      </c>
      <c r="P179" t="s">
        <v>486</v>
      </c>
    </row>
    <row r="180" spans="1:16">
      <c r="A180" t="s">
        <v>487</v>
      </c>
      <c r="B180" t="s">
        <v>487</v>
      </c>
      <c r="C180" s="34" t="s">
        <v>18</v>
      </c>
      <c r="D180" s="7" t="s">
        <v>18</v>
      </c>
      <c r="E180" s="7" t="s">
        <v>20</v>
      </c>
      <c r="F180" s="40" t="s">
        <v>21</v>
      </c>
      <c r="G180" s="40" t="s">
        <v>22</v>
      </c>
      <c r="I180" s="35" t="s">
        <v>306</v>
      </c>
      <c r="J180" s="42">
        <v>46204</v>
      </c>
      <c r="K180" s="42">
        <v>46326</v>
      </c>
      <c r="L180" s="35" t="s">
        <v>35</v>
      </c>
      <c r="M180" s="38">
        <v>0</v>
      </c>
      <c r="N180" s="47">
        <v>1</v>
      </c>
      <c r="O180" s="6">
        <f t="shared" ref="O180:O184" si="11">M180*N180</f>
        <v>0</v>
      </c>
      <c r="P180" t="s">
        <v>488</v>
      </c>
    </row>
    <row r="181" spans="1:16">
      <c r="A181" t="s">
        <v>489</v>
      </c>
      <c r="B181" t="s">
        <v>489</v>
      </c>
      <c r="C181" s="34" t="s">
        <v>77</v>
      </c>
      <c r="D181" s="7" t="s">
        <v>126</v>
      </c>
      <c r="E181" t="s">
        <v>330</v>
      </c>
      <c r="F181" s="40" t="s">
        <v>21</v>
      </c>
      <c r="H181" s="117"/>
      <c r="I181" s="35" t="s">
        <v>23</v>
      </c>
      <c r="J181" s="42">
        <v>46143</v>
      </c>
      <c r="K181" s="42">
        <v>46326</v>
      </c>
      <c r="L181" s="35" t="s">
        <v>24</v>
      </c>
      <c r="M181" s="38">
        <v>0</v>
      </c>
      <c r="N181" s="47">
        <v>1</v>
      </c>
      <c r="O181" s="6">
        <f t="shared" si="11"/>
        <v>0</v>
      </c>
    </row>
    <row r="182" spans="1:16">
      <c r="A182" t="s">
        <v>490</v>
      </c>
      <c r="B182" t="s">
        <v>490</v>
      </c>
      <c r="C182" s="34" t="s">
        <v>77</v>
      </c>
      <c r="D182" s="7" t="s">
        <v>126</v>
      </c>
      <c r="E182" t="s">
        <v>330</v>
      </c>
      <c r="F182" s="40" t="s">
        <v>55</v>
      </c>
      <c r="G182" s="40" t="s">
        <v>491</v>
      </c>
      <c r="H182" s="40">
        <v>31321888</v>
      </c>
      <c r="I182" s="35" t="s">
        <v>23</v>
      </c>
      <c r="J182" s="42">
        <v>46143</v>
      </c>
      <c r="K182" s="42">
        <v>46326</v>
      </c>
      <c r="L182" s="35" t="s">
        <v>24</v>
      </c>
      <c r="M182" s="38">
        <v>0</v>
      </c>
      <c r="N182" s="47">
        <v>1</v>
      </c>
      <c r="O182" s="6">
        <f t="shared" si="11"/>
        <v>0</v>
      </c>
    </row>
    <row r="183" spans="1:16">
      <c r="A183" t="s">
        <v>492</v>
      </c>
      <c r="B183" t="s">
        <v>492</v>
      </c>
      <c r="C183" s="34" t="s">
        <v>52</v>
      </c>
      <c r="D183" s="7" t="s">
        <v>19</v>
      </c>
      <c r="E183" s="7" t="s">
        <v>362</v>
      </c>
      <c r="F183" s="40" t="s">
        <v>21</v>
      </c>
      <c r="G183" s="40" t="s">
        <v>22</v>
      </c>
      <c r="H183" s="117">
        <v>87002050</v>
      </c>
      <c r="I183" s="35" t="s">
        <v>23</v>
      </c>
      <c r="J183" s="42">
        <v>46143</v>
      </c>
      <c r="K183" s="37">
        <v>46387</v>
      </c>
      <c r="L183" s="35" t="s">
        <v>24</v>
      </c>
      <c r="M183" s="38">
        <v>3774</v>
      </c>
      <c r="N183" s="100">
        <v>1</v>
      </c>
      <c r="O183" s="6">
        <f t="shared" si="11"/>
        <v>3774</v>
      </c>
    </row>
    <row r="184" spans="1:16">
      <c r="A184" t="s">
        <v>493</v>
      </c>
      <c r="B184" t="s">
        <v>493</v>
      </c>
      <c r="C184" s="34" t="s">
        <v>163</v>
      </c>
      <c r="D184" s="7" t="s">
        <v>129</v>
      </c>
      <c r="E184" t="s">
        <v>164</v>
      </c>
      <c r="F184" s="40" t="s">
        <v>494</v>
      </c>
      <c r="G184" s="40" t="s">
        <v>22</v>
      </c>
      <c r="H184" s="117"/>
      <c r="I184" s="35" t="s">
        <v>306</v>
      </c>
      <c r="J184" s="42">
        <v>46235</v>
      </c>
      <c r="K184" s="42">
        <v>46538</v>
      </c>
      <c r="L184" s="35" t="s">
        <v>24</v>
      </c>
      <c r="M184" s="38"/>
      <c r="N184" s="100">
        <v>0.5</v>
      </c>
      <c r="O184" s="6">
        <f t="shared" si="11"/>
        <v>0</v>
      </c>
      <c r="P184" t="s">
        <v>495</v>
      </c>
    </row>
    <row r="185" spans="1:16">
      <c r="A185" t="s">
        <v>496</v>
      </c>
      <c r="B185" t="s">
        <v>496</v>
      </c>
      <c r="C185" s="34" t="s">
        <v>18</v>
      </c>
      <c r="D185" s="7" t="s">
        <v>78</v>
      </c>
      <c r="E185" t="s">
        <v>451</v>
      </c>
      <c r="F185" s="40" t="s">
        <v>21</v>
      </c>
      <c r="I185" s="35" t="s">
        <v>306</v>
      </c>
      <c r="J185" s="42">
        <v>46204</v>
      </c>
      <c r="K185" s="37">
        <v>46387</v>
      </c>
      <c r="L185" s="35" t="s">
        <v>24</v>
      </c>
      <c r="M185" s="38">
        <v>50000</v>
      </c>
      <c r="N185" s="47">
        <v>0.95</v>
      </c>
      <c r="O185" s="6">
        <f t="shared" ref="O185:O190" si="12">M185*N185</f>
        <v>47500</v>
      </c>
      <c r="P185" t="s">
        <v>497</v>
      </c>
    </row>
    <row r="186" spans="1:16">
      <c r="A186" t="s">
        <v>498</v>
      </c>
      <c r="B186" t="s">
        <v>498</v>
      </c>
      <c r="C186" s="34" t="s">
        <v>18</v>
      </c>
      <c r="D186" s="7" t="s">
        <v>18</v>
      </c>
      <c r="E186" t="s">
        <v>451</v>
      </c>
      <c r="F186" s="40" t="s">
        <v>55</v>
      </c>
      <c r="I186" s="35" t="s">
        <v>306</v>
      </c>
      <c r="J186" s="42">
        <v>46204</v>
      </c>
      <c r="K186" s="37">
        <v>46387</v>
      </c>
      <c r="L186" s="35" t="s">
        <v>60</v>
      </c>
      <c r="M186" s="38">
        <v>75000</v>
      </c>
      <c r="N186" s="47">
        <v>0.5</v>
      </c>
      <c r="O186" s="6">
        <f t="shared" si="12"/>
        <v>37500</v>
      </c>
    </row>
    <row r="187" spans="1:16" ht="16">
      <c r="A187" s="88" t="s">
        <v>499</v>
      </c>
      <c r="B187" s="88"/>
      <c r="C187" s="122" t="s">
        <v>77</v>
      </c>
      <c r="D187" s="44" t="s">
        <v>18</v>
      </c>
      <c r="E187" s="88" t="s">
        <v>336</v>
      </c>
      <c r="F187" s="129" t="s">
        <v>55</v>
      </c>
      <c r="G187" s="129"/>
      <c r="H187" s="142" t="s">
        <v>500</v>
      </c>
      <c r="I187" s="129" t="s">
        <v>384</v>
      </c>
      <c r="J187" s="129"/>
      <c r="K187" s="129"/>
      <c r="L187" s="123" t="s">
        <v>191</v>
      </c>
      <c r="M187" s="125">
        <v>2550</v>
      </c>
      <c r="N187" s="143"/>
      <c r="O187" s="6">
        <f t="shared" si="12"/>
        <v>0</v>
      </c>
      <c r="P187" s="88" t="s">
        <v>501</v>
      </c>
    </row>
    <row r="188" spans="1:16">
      <c r="A188" t="s">
        <v>499</v>
      </c>
      <c r="B188" t="s">
        <v>499</v>
      </c>
      <c r="C188" s="34" t="s">
        <v>77</v>
      </c>
      <c r="D188" s="7" t="s">
        <v>18</v>
      </c>
      <c r="E188" t="s">
        <v>336</v>
      </c>
      <c r="F188" s="40" t="s">
        <v>55</v>
      </c>
      <c r="G188" s="40" t="s">
        <v>502</v>
      </c>
      <c r="H188" s="40" t="s">
        <v>503</v>
      </c>
      <c r="I188" s="40" t="s">
        <v>23</v>
      </c>
      <c r="J188" s="42">
        <v>46082</v>
      </c>
      <c r="K188" s="37">
        <v>46387</v>
      </c>
      <c r="L188" s="35" t="s">
        <v>191</v>
      </c>
      <c r="M188" s="38">
        <v>1275.2</v>
      </c>
      <c r="N188" s="100">
        <v>1</v>
      </c>
      <c r="O188" s="6">
        <f t="shared" si="12"/>
        <v>1275.2</v>
      </c>
    </row>
    <row r="189" spans="1:16">
      <c r="A189" t="s">
        <v>499</v>
      </c>
      <c r="B189" t="s">
        <v>499</v>
      </c>
      <c r="C189" s="34" t="s">
        <v>77</v>
      </c>
      <c r="D189" s="7" t="s">
        <v>18</v>
      </c>
      <c r="E189" t="s">
        <v>336</v>
      </c>
      <c r="F189" s="40" t="s">
        <v>55</v>
      </c>
      <c r="G189" s="40" t="s">
        <v>504</v>
      </c>
      <c r="H189" s="40" t="s">
        <v>505</v>
      </c>
      <c r="I189" s="40" t="s">
        <v>23</v>
      </c>
      <c r="J189" s="42">
        <v>46113</v>
      </c>
      <c r="K189" s="37">
        <v>46387</v>
      </c>
      <c r="L189" s="35" t="s">
        <v>191</v>
      </c>
      <c r="M189" s="38">
        <v>1275.2</v>
      </c>
      <c r="N189" s="100">
        <v>1</v>
      </c>
      <c r="O189" s="6">
        <f t="shared" si="12"/>
        <v>1275.2</v>
      </c>
    </row>
    <row r="190" spans="1:16" ht="16">
      <c r="A190" s="136" t="s">
        <v>506</v>
      </c>
      <c r="C190" s="34" t="s">
        <v>52</v>
      </c>
      <c r="D190" s="7" t="s">
        <v>18</v>
      </c>
      <c r="F190" s="40" t="s">
        <v>55</v>
      </c>
      <c r="H190" s="141" t="s">
        <v>507</v>
      </c>
      <c r="L190" s="35" t="s">
        <v>120</v>
      </c>
      <c r="M190" s="38">
        <v>1480</v>
      </c>
      <c r="O190" s="6">
        <f t="shared" si="12"/>
        <v>0</v>
      </c>
      <c r="P190" t="s">
        <v>508</v>
      </c>
    </row>
    <row r="191" spans="1:16">
      <c r="L191" s="35"/>
    </row>
    <row r="192" spans="1:16">
      <c r="L192" s="35"/>
    </row>
    <row r="193" spans="12:12">
      <c r="L193" s="35"/>
    </row>
    <row r="194" spans="12:12">
      <c r="L194" s="35"/>
    </row>
    <row r="195" spans="12:12">
      <c r="L195" s="35"/>
    </row>
    <row r="196" spans="12:12">
      <c r="L196" s="35"/>
    </row>
    <row r="197" spans="12:12">
      <c r="L197" s="35"/>
    </row>
    <row r="198" spans="12:12">
      <c r="L198" s="35"/>
    </row>
    <row r="199" spans="12:12">
      <c r="L199" s="35"/>
    </row>
    <row r="200" spans="12:12">
      <c r="L200" s="35"/>
    </row>
    <row r="201" spans="12:12">
      <c r="L201" s="35"/>
    </row>
    <row r="202" spans="12:12">
      <c r="L202" s="35"/>
    </row>
    <row r="203" spans="12:12">
      <c r="L203" s="35"/>
    </row>
    <row r="204" spans="12:12">
      <c r="L204" s="35"/>
    </row>
    <row r="205" spans="12:12">
      <c r="L205" s="35"/>
    </row>
  </sheetData>
  <autoFilter ref="A1:P190" xr:uid="{1C13DAFA-355F-44D5-B195-6558516D42F2}"/>
  <phoneticPr fontId="9" type="noConversion"/>
  <conditionalFormatting sqref="A43:B44">
    <cfRule type="expression" dxfId="170" priority="116">
      <formula>#REF!="check"</formula>
    </cfRule>
  </conditionalFormatting>
  <conditionalFormatting sqref="A61:B61">
    <cfRule type="expression" dxfId="169" priority="101">
      <formula>#REF!="check"</formula>
    </cfRule>
  </conditionalFormatting>
  <conditionalFormatting sqref="B62">
    <cfRule type="expression" dxfId="168" priority="91">
      <formula>#REF!="check"</formula>
    </cfRule>
  </conditionalFormatting>
  <conditionalFormatting sqref="G1">
    <cfRule type="duplicateValues" dxfId="167" priority="206"/>
  </conditionalFormatting>
  <conditionalFormatting sqref="G2">
    <cfRule type="duplicateValues" dxfId="166" priority="203"/>
    <cfRule type="duplicateValues" dxfId="165" priority="202"/>
  </conditionalFormatting>
  <conditionalFormatting sqref="G3">
    <cfRule type="duplicateValues" dxfId="164" priority="15"/>
    <cfRule type="duplicateValues" dxfId="163" priority="16"/>
  </conditionalFormatting>
  <conditionalFormatting sqref="G4">
    <cfRule type="duplicateValues" dxfId="162" priority="200"/>
    <cfRule type="duplicateValues" dxfId="161" priority="199"/>
  </conditionalFormatting>
  <conditionalFormatting sqref="G5">
    <cfRule type="duplicateValues" dxfId="160" priority="197"/>
    <cfRule type="duplicateValues" dxfId="159" priority="196"/>
  </conditionalFormatting>
  <conditionalFormatting sqref="G6">
    <cfRule type="duplicateValues" dxfId="158" priority="194"/>
    <cfRule type="duplicateValues" dxfId="157" priority="193"/>
  </conditionalFormatting>
  <conditionalFormatting sqref="G7">
    <cfRule type="duplicateValues" dxfId="156" priority="191"/>
    <cfRule type="duplicateValues" dxfId="155" priority="190"/>
  </conditionalFormatting>
  <conditionalFormatting sqref="G8">
    <cfRule type="duplicateValues" dxfId="154" priority="188"/>
    <cfRule type="duplicateValues" dxfId="153" priority="187"/>
  </conditionalFormatting>
  <conditionalFormatting sqref="G9">
    <cfRule type="duplicateValues" dxfId="152" priority="184"/>
    <cfRule type="duplicateValues" dxfId="151" priority="185"/>
  </conditionalFormatting>
  <conditionalFormatting sqref="G10">
    <cfRule type="duplicateValues" dxfId="150" priority="182"/>
    <cfRule type="duplicateValues" dxfId="149" priority="181"/>
  </conditionalFormatting>
  <conditionalFormatting sqref="G11">
    <cfRule type="duplicateValues" dxfId="148" priority="179"/>
    <cfRule type="duplicateValues" dxfId="147" priority="178"/>
  </conditionalFormatting>
  <conditionalFormatting sqref="G12">
    <cfRule type="duplicateValues" dxfId="146" priority="176"/>
    <cfRule type="duplicateValues" dxfId="145" priority="175"/>
  </conditionalFormatting>
  <conditionalFormatting sqref="G13">
    <cfRule type="duplicateValues" dxfId="144" priority="173"/>
    <cfRule type="duplicateValues" dxfId="143" priority="172"/>
  </conditionalFormatting>
  <conditionalFormatting sqref="G14">
    <cfRule type="duplicateValues" dxfId="142" priority="170"/>
    <cfRule type="duplicateValues" dxfId="141" priority="169"/>
  </conditionalFormatting>
  <conditionalFormatting sqref="G15">
    <cfRule type="duplicateValues" dxfId="140" priority="167"/>
    <cfRule type="duplicateValues" dxfId="139" priority="166"/>
  </conditionalFormatting>
  <conditionalFormatting sqref="G16">
    <cfRule type="duplicateValues" dxfId="138" priority="164"/>
    <cfRule type="duplicateValues" dxfId="137" priority="163"/>
  </conditionalFormatting>
  <conditionalFormatting sqref="G17">
    <cfRule type="duplicateValues" dxfId="136" priority="161"/>
    <cfRule type="duplicateValues" dxfId="135" priority="160"/>
  </conditionalFormatting>
  <conditionalFormatting sqref="G18:G19">
    <cfRule type="duplicateValues" dxfId="134" priority="2"/>
    <cfRule type="duplicateValues" dxfId="133" priority="1"/>
  </conditionalFormatting>
  <conditionalFormatting sqref="G25">
    <cfRule type="duplicateValues" dxfId="132" priority="88"/>
    <cfRule type="duplicateValues" dxfId="131" priority="87"/>
  </conditionalFormatting>
  <conditionalFormatting sqref="G26:G27">
    <cfRule type="duplicateValues" dxfId="130" priority="147"/>
    <cfRule type="duplicateValues" dxfId="129" priority="148"/>
  </conditionalFormatting>
  <conditionalFormatting sqref="G28">
    <cfRule type="duplicateValues" dxfId="128" priority="144"/>
    <cfRule type="duplicateValues" dxfId="127" priority="145"/>
  </conditionalFormatting>
  <conditionalFormatting sqref="G29:G30">
    <cfRule type="duplicateValues" dxfId="126" priority="142"/>
    <cfRule type="duplicateValues" dxfId="125" priority="141"/>
  </conditionalFormatting>
  <conditionalFormatting sqref="G31">
    <cfRule type="duplicateValues" dxfId="124" priority="138"/>
    <cfRule type="duplicateValues" dxfId="123" priority="139"/>
  </conditionalFormatting>
  <conditionalFormatting sqref="G32">
    <cfRule type="duplicateValues" dxfId="122" priority="135"/>
    <cfRule type="duplicateValues" dxfId="121" priority="136"/>
  </conditionalFormatting>
  <conditionalFormatting sqref="G34">
    <cfRule type="duplicateValues" dxfId="120" priority="85"/>
    <cfRule type="duplicateValues" dxfId="119" priority="86"/>
  </conditionalFormatting>
  <conditionalFormatting sqref="G35">
    <cfRule type="duplicateValues" dxfId="118" priority="83"/>
    <cfRule type="duplicateValues" dxfId="117" priority="84"/>
  </conditionalFormatting>
  <conditionalFormatting sqref="G36">
    <cfRule type="duplicateValues" dxfId="116" priority="81"/>
    <cfRule type="duplicateValues" dxfId="115" priority="82"/>
  </conditionalFormatting>
  <conditionalFormatting sqref="G37">
    <cfRule type="duplicateValues" dxfId="114" priority="79"/>
    <cfRule type="duplicateValues" dxfId="113" priority="80"/>
  </conditionalFormatting>
  <conditionalFormatting sqref="G38">
    <cfRule type="duplicateValues" dxfId="112" priority="130"/>
    <cfRule type="duplicateValues" dxfId="111" priority="129"/>
  </conditionalFormatting>
  <conditionalFormatting sqref="G39">
    <cfRule type="duplicateValues" dxfId="110" priority="127"/>
    <cfRule type="duplicateValues" dxfId="109" priority="128"/>
  </conditionalFormatting>
  <conditionalFormatting sqref="G40">
    <cfRule type="duplicateValues" dxfId="108" priority="125"/>
    <cfRule type="duplicateValues" dxfId="107" priority="126"/>
  </conditionalFormatting>
  <conditionalFormatting sqref="G41">
    <cfRule type="duplicateValues" dxfId="106" priority="122"/>
    <cfRule type="duplicateValues" dxfId="105" priority="121"/>
  </conditionalFormatting>
  <conditionalFormatting sqref="G42">
    <cfRule type="duplicateValues" dxfId="104" priority="120"/>
    <cfRule type="duplicateValues" dxfId="103" priority="119"/>
  </conditionalFormatting>
  <conditionalFormatting sqref="G43:G44">
    <cfRule type="duplicateValues" dxfId="102" priority="118"/>
    <cfRule type="duplicateValues" dxfId="101" priority="117"/>
  </conditionalFormatting>
  <conditionalFormatting sqref="G46">
    <cfRule type="duplicateValues" dxfId="100" priority="77"/>
    <cfRule type="duplicateValues" dxfId="99" priority="78"/>
  </conditionalFormatting>
  <conditionalFormatting sqref="G47">
    <cfRule type="duplicateValues" dxfId="98" priority="112"/>
    <cfRule type="duplicateValues" dxfId="97" priority="113"/>
  </conditionalFormatting>
  <conditionalFormatting sqref="G48">
    <cfRule type="duplicateValues" dxfId="96" priority="111"/>
    <cfRule type="duplicateValues" dxfId="95" priority="110"/>
  </conditionalFormatting>
  <conditionalFormatting sqref="G49">
    <cfRule type="duplicateValues" dxfId="94" priority="76"/>
    <cfRule type="duplicateValues" dxfId="93" priority="75"/>
  </conditionalFormatting>
  <conditionalFormatting sqref="G50">
    <cfRule type="duplicateValues" dxfId="92" priority="107"/>
    <cfRule type="duplicateValues" dxfId="91" priority="106"/>
  </conditionalFormatting>
  <conditionalFormatting sqref="G51">
    <cfRule type="duplicateValues" dxfId="90" priority="74"/>
    <cfRule type="duplicateValues" dxfId="89" priority="73"/>
  </conditionalFormatting>
  <conditionalFormatting sqref="G52">
    <cfRule type="duplicateValues" dxfId="88" priority="72"/>
    <cfRule type="duplicateValues" dxfId="87" priority="71"/>
  </conditionalFormatting>
  <conditionalFormatting sqref="G54">
    <cfRule type="duplicateValues" dxfId="86" priority="70"/>
    <cfRule type="duplicateValues" dxfId="85" priority="69"/>
  </conditionalFormatting>
  <conditionalFormatting sqref="G57">
    <cfRule type="duplicateValues" dxfId="84" priority="67"/>
    <cfRule type="duplicateValues" dxfId="83" priority="68"/>
  </conditionalFormatting>
  <conditionalFormatting sqref="G61">
    <cfRule type="duplicateValues" dxfId="82" priority="208"/>
    <cfRule type="duplicateValues" dxfId="81" priority="207"/>
  </conditionalFormatting>
  <conditionalFormatting sqref="G62">
    <cfRule type="duplicateValues" dxfId="80" priority="99"/>
    <cfRule type="duplicateValues" dxfId="79" priority="100"/>
  </conditionalFormatting>
  <conditionalFormatting sqref="G63">
    <cfRule type="duplicateValues" dxfId="78" priority="98"/>
    <cfRule type="duplicateValues" dxfId="77" priority="97"/>
  </conditionalFormatting>
  <conditionalFormatting sqref="G65">
    <cfRule type="duplicateValues" dxfId="76" priority="13"/>
    <cfRule type="duplicateValues" dxfId="75" priority="14"/>
  </conditionalFormatting>
  <conditionalFormatting sqref="G66">
    <cfRule type="duplicateValues" dxfId="74" priority="22"/>
    <cfRule type="duplicateValues" dxfId="73" priority="21"/>
  </conditionalFormatting>
  <conditionalFormatting sqref="G68">
    <cfRule type="duplicateValues" dxfId="72" priority="66"/>
    <cfRule type="duplicateValues" dxfId="71" priority="65"/>
  </conditionalFormatting>
  <conditionalFormatting sqref="G69:G70 G64 G76">
    <cfRule type="duplicateValues" dxfId="70" priority="209"/>
  </conditionalFormatting>
  <conditionalFormatting sqref="G71">
    <cfRule type="duplicateValues" dxfId="69" priority="62"/>
    <cfRule type="duplicateValues" dxfId="68" priority="61"/>
  </conditionalFormatting>
  <conditionalFormatting sqref="G72">
    <cfRule type="duplicateValues" dxfId="67" priority="64"/>
    <cfRule type="duplicateValues" dxfId="66" priority="63"/>
  </conditionalFormatting>
  <conditionalFormatting sqref="G73">
    <cfRule type="duplicateValues" dxfId="65" priority="23"/>
    <cfRule type="duplicateValues" dxfId="64" priority="24"/>
  </conditionalFormatting>
  <conditionalFormatting sqref="G75">
    <cfRule type="duplicateValues" dxfId="63" priority="57"/>
    <cfRule type="duplicateValues" dxfId="62" priority="58"/>
  </conditionalFormatting>
  <conditionalFormatting sqref="G82">
    <cfRule type="duplicateValues" dxfId="61" priority="19"/>
    <cfRule type="duplicateValues" dxfId="60" priority="20"/>
  </conditionalFormatting>
  <conditionalFormatting sqref="G84">
    <cfRule type="duplicateValues" dxfId="59" priority="17"/>
    <cfRule type="duplicateValues" dxfId="58" priority="18"/>
  </conditionalFormatting>
  <conditionalFormatting sqref="G86">
    <cfRule type="duplicateValues" dxfId="57" priority="12"/>
    <cfRule type="duplicateValues" dxfId="56" priority="11"/>
  </conditionalFormatting>
  <conditionalFormatting sqref="G89:G90 G83 G85 G77:G81">
    <cfRule type="duplicateValues" dxfId="55" priority="213"/>
    <cfRule type="duplicateValues" dxfId="54" priority="212"/>
  </conditionalFormatting>
  <conditionalFormatting sqref="G92">
    <cfRule type="duplicateValues" dxfId="53" priority="56"/>
    <cfRule type="duplicateValues" dxfId="52" priority="55"/>
  </conditionalFormatting>
  <conditionalFormatting sqref="G94">
    <cfRule type="duplicateValues" dxfId="51" priority="53"/>
    <cfRule type="duplicateValues" dxfId="50" priority="54"/>
  </conditionalFormatting>
  <conditionalFormatting sqref="G100">
    <cfRule type="duplicateValues" dxfId="49" priority="52"/>
    <cfRule type="duplicateValues" dxfId="48" priority="51"/>
  </conditionalFormatting>
  <conditionalFormatting sqref="G103">
    <cfRule type="duplicateValues" dxfId="47" priority="50"/>
    <cfRule type="duplicateValues" dxfId="46" priority="49"/>
  </conditionalFormatting>
  <conditionalFormatting sqref="G106">
    <cfRule type="duplicateValues" dxfId="45" priority="47"/>
    <cfRule type="duplicateValues" dxfId="44" priority="48"/>
  </conditionalFormatting>
  <conditionalFormatting sqref="G107">
    <cfRule type="duplicateValues" dxfId="43" priority="46"/>
    <cfRule type="duplicateValues" dxfId="42" priority="45"/>
  </conditionalFormatting>
  <conditionalFormatting sqref="G114">
    <cfRule type="duplicateValues" dxfId="41" priority="44"/>
    <cfRule type="duplicateValues" dxfId="40" priority="43"/>
  </conditionalFormatting>
  <conditionalFormatting sqref="G118">
    <cfRule type="duplicateValues" dxfId="39" priority="42"/>
    <cfRule type="duplicateValues" dxfId="38" priority="41"/>
  </conditionalFormatting>
  <conditionalFormatting sqref="G120">
    <cfRule type="duplicateValues" dxfId="37" priority="40"/>
    <cfRule type="duplicateValues" dxfId="36" priority="39"/>
  </conditionalFormatting>
  <conditionalFormatting sqref="G121">
    <cfRule type="duplicateValues" dxfId="35" priority="38"/>
    <cfRule type="duplicateValues" dxfId="34" priority="37"/>
  </conditionalFormatting>
  <conditionalFormatting sqref="G124">
    <cfRule type="duplicateValues" dxfId="33" priority="35"/>
    <cfRule type="duplicateValues" dxfId="32" priority="36"/>
  </conditionalFormatting>
  <conditionalFormatting sqref="G130">
    <cfRule type="duplicateValues" dxfId="31" priority="30"/>
    <cfRule type="duplicateValues" dxfId="30" priority="29"/>
  </conditionalFormatting>
  <conditionalFormatting sqref="G132">
    <cfRule type="duplicateValues" dxfId="29" priority="28"/>
    <cfRule type="duplicateValues" dxfId="28" priority="27"/>
  </conditionalFormatting>
  <conditionalFormatting sqref="H1">
    <cfRule type="duplicateValues" dxfId="27" priority="205"/>
  </conditionalFormatting>
  <conditionalFormatting sqref="H2:H3">
    <cfRule type="duplicateValues" dxfId="26" priority="204"/>
  </conditionalFormatting>
  <conditionalFormatting sqref="H4">
    <cfRule type="duplicateValues" dxfId="25" priority="198"/>
  </conditionalFormatting>
  <conditionalFormatting sqref="H5">
    <cfRule type="duplicateValues" dxfId="24" priority="195"/>
  </conditionalFormatting>
  <conditionalFormatting sqref="H6">
    <cfRule type="duplicateValues" dxfId="23" priority="192"/>
  </conditionalFormatting>
  <conditionalFormatting sqref="H7">
    <cfRule type="duplicateValues" dxfId="22" priority="189"/>
  </conditionalFormatting>
  <conditionalFormatting sqref="H8">
    <cfRule type="duplicateValues" dxfId="21" priority="186"/>
  </conditionalFormatting>
  <conditionalFormatting sqref="H9">
    <cfRule type="duplicateValues" dxfId="20" priority="183"/>
  </conditionalFormatting>
  <conditionalFormatting sqref="H10">
    <cfRule type="duplicateValues" dxfId="19" priority="180"/>
  </conditionalFormatting>
  <conditionalFormatting sqref="H11">
    <cfRule type="duplicateValues" dxfId="18" priority="4"/>
  </conditionalFormatting>
  <conditionalFormatting sqref="H12">
    <cfRule type="duplicateValues" dxfId="17" priority="174"/>
  </conditionalFormatting>
  <conditionalFormatting sqref="H13">
    <cfRule type="duplicateValues" dxfId="16" priority="171"/>
  </conditionalFormatting>
  <conditionalFormatting sqref="H14">
    <cfRule type="duplicateValues" dxfId="15" priority="168"/>
  </conditionalFormatting>
  <conditionalFormatting sqref="H15">
    <cfRule type="duplicateValues" dxfId="14" priority="165"/>
  </conditionalFormatting>
  <conditionalFormatting sqref="H16">
    <cfRule type="duplicateValues" dxfId="13" priority="162"/>
  </conditionalFormatting>
  <conditionalFormatting sqref="H17">
    <cfRule type="duplicateValues" dxfId="12" priority="3"/>
  </conditionalFormatting>
  <conditionalFormatting sqref="H18">
    <cfRule type="duplicateValues" dxfId="11" priority="156"/>
  </conditionalFormatting>
  <conditionalFormatting sqref="H19">
    <cfRule type="duplicateValues" dxfId="10" priority="153"/>
  </conditionalFormatting>
  <conditionalFormatting sqref="H23:H24 H20:H21">
    <cfRule type="duplicateValues" dxfId="9" priority="152"/>
  </conditionalFormatting>
  <conditionalFormatting sqref="H25">
    <cfRule type="duplicateValues" dxfId="8" priority="149"/>
  </conditionalFormatting>
  <conditionalFormatting sqref="H26:H27">
    <cfRule type="duplicateValues" dxfId="7" priority="146"/>
  </conditionalFormatting>
  <conditionalFormatting sqref="H28">
    <cfRule type="duplicateValues" dxfId="6" priority="143"/>
  </conditionalFormatting>
  <conditionalFormatting sqref="H29">
    <cfRule type="duplicateValues" dxfId="5" priority="140"/>
  </conditionalFormatting>
  <conditionalFormatting sqref="H30">
    <cfRule type="duplicateValues" dxfId="4" priority="90"/>
  </conditionalFormatting>
  <conditionalFormatting sqref="H33">
    <cfRule type="duplicateValues" dxfId="3" priority="89"/>
  </conditionalFormatting>
  <conditionalFormatting sqref="H50">
    <cfRule type="duplicateValues" dxfId="2" priority="6"/>
  </conditionalFormatting>
  <conditionalFormatting sqref="H104:H112 H56 H48:H49 H32 H59:H64 H34:H46 H66:H69 H86 H88:H101 H51:H54 H71 H73:H83">
    <cfRule type="duplicateValues" dxfId="1" priority="211"/>
  </conditionalFormatting>
  <conditionalFormatting sqref="H172:H173">
    <cfRule type="duplicateValues" dxfId="0" priority="5"/>
  </conditionalFormatting>
  <pageMargins left="0.7" right="0.7" top="0.75" bottom="0.75" header="0.3" footer="0.3"/>
  <pageSetup orientation="portrait" r:id="rId1"/>
  <ignoredErrors>
    <ignoredError sqref="H36 H49 H100 H93 H95 H138:H140 H11 H187:H190" numberStoredAsText="1"/>
    <ignoredError sqref="O2:O85 O153:O159 O96:O135 O136:O145 O160:O170 O149 O146:O148 O150:O152 O86:O93 O171:O174 O175:O191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C9F47D4-FE06-4B40-9E27-5303E6C4FF66}">
          <x14:formula1>
            <xm:f>RefData!$B$3:$B$7</xm:f>
          </x14:formula1>
          <xm:sqref>C2:C126 C132:C174 C178 C181:C190</xm:sqref>
        </x14:dataValidation>
        <x14:dataValidation type="list" allowBlank="1" showInputMessage="1" showErrorMessage="1" xr:uid="{3B444BBA-7342-4468-8B36-E79102254BE0}">
          <x14:formula1>
            <xm:f>RefData!$C$3:$C$9</xm:f>
          </x14:formula1>
          <xm:sqref>D131 D2:D126 D134:D175 D178:D179 D181:D184 D186:D190</xm:sqref>
        </x14:dataValidation>
        <x14:dataValidation type="list" allowBlank="1" showInputMessage="1" showErrorMessage="1" xr:uid="{A29D581D-9F0B-458D-B362-80E2DC878920}">
          <x14:formula1>
            <xm:f>RefData!$F$3:$F$7</xm:f>
          </x14:formula1>
          <xm:sqref>I163 I167 I2:I161 I165 I172:I174</xm:sqref>
        </x14:dataValidation>
        <x14:dataValidation type="list" allowBlank="1" showInputMessage="1" showErrorMessage="1" xr:uid="{949CE8E0-5F54-461C-95E2-2C98441C3AD7}">
          <x14:formula1>
            <xm:f>RefData!$D$3:$D$4</xm:f>
          </x14:formula1>
          <xm:sqref>F174 F2:F161 F178</xm:sqref>
        </x14:dataValidation>
        <x14:dataValidation type="list" allowBlank="1" showInputMessage="1" showErrorMessage="1" xr:uid="{0022FC4F-C8D7-4C02-94D4-9D700306EC35}">
          <x14:formula1>
            <xm:f>RefData!$E$3:$E$10</xm:f>
          </x14:formula1>
          <xm:sqref>L2:L205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4D4A-AC8C-4AD0-8668-FBD62E45A06E}">
  <sheetPr filterMode="1">
    <tabColor rgb="FFFCDE92"/>
  </sheetPr>
  <dimension ref="A1:AA128"/>
  <sheetViews>
    <sheetView zoomScale="90" zoomScaleNormal="90" workbookViewId="0">
      <pane ySplit="1" topLeftCell="A33" activePane="bottomLeft" state="frozen"/>
      <selection pane="bottomLeft" activeCell="C121" sqref="C121"/>
    </sheetView>
  </sheetViews>
  <sheetFormatPr baseColWidth="10" defaultColWidth="8.83203125" defaultRowHeight="15" customHeight="1" outlineLevelCol="1"/>
  <cols>
    <col min="1" max="1" width="59.5" customWidth="1"/>
    <col min="2" max="2" width="14" customWidth="1"/>
    <col min="3" max="4" width="17.5" customWidth="1"/>
    <col min="5" max="5" width="7.5" customWidth="1"/>
    <col min="6" max="6" width="17.5" customWidth="1"/>
    <col min="7" max="7" width="15.83203125" style="40" bestFit="1" customWidth="1" outlineLevel="1"/>
    <col min="8" max="8" width="16.33203125" style="40" customWidth="1" outlineLevel="1"/>
    <col min="9" max="9" width="12.83203125" style="40" customWidth="1" outlineLevel="1"/>
    <col min="10" max="10" width="15.5" style="40" customWidth="1" outlineLevel="1"/>
    <col min="11" max="11" width="13.6640625" style="40" customWidth="1" outlineLevel="1"/>
    <col min="12" max="12" width="11.5" style="40" customWidth="1" outlineLevel="1"/>
    <col min="13" max="13" width="12.5" style="40" customWidth="1" outlineLevel="1"/>
    <col min="14" max="14" width="20.5" style="40" customWidth="1" outlineLevel="1"/>
    <col min="15" max="15" width="12.5" style="40" customWidth="1" outlineLevel="1"/>
    <col min="16" max="16" width="20.5" style="40" customWidth="1" outlineLevel="1"/>
    <col min="17" max="17" width="15" style="40" customWidth="1"/>
    <col min="18" max="18" width="18.5" style="40" customWidth="1"/>
    <col min="19" max="20" width="10.1640625" style="40" customWidth="1"/>
    <col min="21" max="21" width="10.1640625" customWidth="1"/>
    <col min="22" max="22" width="10" style="40" customWidth="1"/>
    <col min="23" max="23" width="9.1640625" customWidth="1"/>
    <col min="24" max="24" width="9.1640625" style="43" customWidth="1"/>
    <col min="25" max="26" width="9.1640625" customWidth="1"/>
    <col min="27" max="27" width="37.1640625" bestFit="1" customWidth="1"/>
  </cols>
  <sheetData>
    <row r="1" spans="1:27" ht="38.25" customHeight="1">
      <c r="A1" s="102" t="s">
        <v>1</v>
      </c>
      <c r="B1" s="50" t="s">
        <v>509</v>
      </c>
      <c r="C1" s="103" t="s">
        <v>510</v>
      </c>
      <c r="D1" s="103" t="s">
        <v>511</v>
      </c>
      <c r="E1" s="103" t="s">
        <v>11</v>
      </c>
      <c r="F1" s="103" t="s">
        <v>512</v>
      </c>
      <c r="G1" s="31" t="s">
        <v>516</v>
      </c>
      <c r="H1" s="109" t="s">
        <v>513</v>
      </c>
      <c r="I1" s="137" t="s">
        <v>792</v>
      </c>
      <c r="J1" s="31" t="s">
        <v>514</v>
      </c>
      <c r="K1" s="31" t="s">
        <v>515</v>
      </c>
      <c r="L1" s="51" t="s">
        <v>517</v>
      </c>
      <c r="M1" s="31" t="s">
        <v>518</v>
      </c>
      <c r="N1" s="109" t="s">
        <v>519</v>
      </c>
      <c r="O1" s="31" t="s">
        <v>520</v>
      </c>
      <c r="P1" s="109" t="s">
        <v>521</v>
      </c>
      <c r="Q1" s="52" t="s">
        <v>522</v>
      </c>
      <c r="R1" s="104" t="s">
        <v>523</v>
      </c>
      <c r="S1" s="104" t="s">
        <v>78</v>
      </c>
      <c r="T1" s="104" t="s">
        <v>524</v>
      </c>
      <c r="U1" s="52" t="s">
        <v>525</v>
      </c>
      <c r="V1" s="52" t="s">
        <v>526</v>
      </c>
      <c r="W1" s="52" t="s">
        <v>527</v>
      </c>
      <c r="X1" s="52" t="s">
        <v>528</v>
      </c>
      <c r="Y1" s="52" t="s">
        <v>529</v>
      </c>
      <c r="Z1" s="52" t="s">
        <v>530</v>
      </c>
      <c r="AA1" s="43" t="s">
        <v>531</v>
      </c>
    </row>
    <row r="2" spans="1:27" hidden="1">
      <c r="A2" s="41" t="s">
        <v>62</v>
      </c>
      <c r="B2" s="53" t="str">
        <f>VLOOKUP('Project documentation'!A2,'Project List 2026'!B:E,2,0)</f>
        <v>Americas</v>
      </c>
      <c r="C2" s="41" t="str">
        <f>VLOOKUP(A2,'Project List 2026'!B:I,4,0)</f>
        <v>Carlos Crawford</v>
      </c>
      <c r="D2" s="41" t="str">
        <f>VLOOKUP(A2,'Project List 2026'!B:F,5,0)</f>
        <v>External</v>
      </c>
      <c r="E2" s="41" t="str">
        <f>VLOOKUP(A2,'Project List 2026'!B:L,11,0)</f>
        <v>DSC</v>
      </c>
      <c r="F2" s="54" t="str">
        <f>VLOOKUP(A2,'Project List 2026'!B:I,8,0)</f>
        <v>Completed</v>
      </c>
      <c r="G2" s="11" t="s">
        <v>532</v>
      </c>
      <c r="H2" s="11" t="s">
        <v>532</v>
      </c>
      <c r="I2" s="11"/>
      <c r="J2" s="11" t="s">
        <v>532</v>
      </c>
      <c r="K2" s="11" t="s">
        <v>532</v>
      </c>
      <c r="L2" s="11" t="s">
        <v>532</v>
      </c>
      <c r="M2" s="11"/>
      <c r="N2" s="11"/>
      <c r="O2" s="11"/>
      <c r="P2" s="11"/>
      <c r="U2" s="49"/>
      <c r="V2"/>
      <c r="X2"/>
    </row>
    <row r="3" spans="1:27" hidden="1">
      <c r="A3" s="41" t="s">
        <v>65</v>
      </c>
      <c r="B3" s="53" t="str">
        <f>VLOOKUP('Project documentation'!A3,'Project List 2026'!B:E,2,0)</f>
        <v>Americas</v>
      </c>
      <c r="C3" s="41" t="str">
        <f>VLOOKUP(A3,'Project List 2026'!B:I,4,0)</f>
        <v>Carlos Crawford</v>
      </c>
      <c r="D3" s="41" t="str">
        <f>VLOOKUP(A3,'Project List 2026'!B:F,5,0)</f>
        <v>External</v>
      </c>
      <c r="E3" s="41" t="str">
        <f>VLOOKUP(A3,'Project List 2026'!B:L,11,0)</f>
        <v>EXP</v>
      </c>
      <c r="F3" s="54" t="str">
        <f>VLOOKUP(A3,'Project List 2026'!B:I,8,0)</f>
        <v>Ongoing</v>
      </c>
      <c r="G3" s="11" t="s">
        <v>533</v>
      </c>
      <c r="H3" s="110">
        <v>46132</v>
      </c>
      <c r="I3" s="110"/>
      <c r="J3" s="11" t="s">
        <v>533</v>
      </c>
      <c r="K3" s="11" t="s">
        <v>533</v>
      </c>
      <c r="L3" s="40" t="s">
        <v>534</v>
      </c>
      <c r="M3" s="11"/>
      <c r="N3" s="11"/>
      <c r="O3" s="11"/>
      <c r="P3" s="11"/>
      <c r="U3" s="49"/>
      <c r="V3"/>
      <c r="X3"/>
    </row>
    <row r="4" spans="1:27" hidden="1">
      <c r="A4" s="41" t="s">
        <v>68</v>
      </c>
      <c r="B4" s="53" t="str">
        <f>VLOOKUP('Project documentation'!A4,'Project List 2026'!B:E,2,0)</f>
        <v>Americas</v>
      </c>
      <c r="C4" s="41" t="str">
        <f>VLOOKUP(A4,'Project List 2026'!B:I,4,0)</f>
        <v>Carlos Crawford</v>
      </c>
      <c r="D4" s="41" t="str">
        <f>VLOOKUP(A4,'Project List 2026'!B:F,5,0)</f>
        <v>External</v>
      </c>
      <c r="E4" s="41" t="str">
        <f>VLOOKUP(A4,'Project List 2026'!B:L,11,0)</f>
        <v>DSC</v>
      </c>
      <c r="F4" s="54" t="str">
        <f>VLOOKUP(A4,'Project List 2026'!B:I,8,0)</f>
        <v>Ongoing</v>
      </c>
      <c r="G4" s="11" t="s">
        <v>533</v>
      </c>
      <c r="H4" s="110">
        <v>46132</v>
      </c>
      <c r="I4" s="110"/>
      <c r="J4" s="11" t="s">
        <v>533</v>
      </c>
      <c r="K4" s="11" t="s">
        <v>533</v>
      </c>
      <c r="L4" s="40" t="s">
        <v>535</v>
      </c>
      <c r="M4" s="11"/>
      <c r="N4" s="11"/>
      <c r="O4" s="11"/>
      <c r="P4" s="11"/>
      <c r="U4" s="49"/>
      <c r="V4"/>
      <c r="X4"/>
    </row>
    <row r="5" spans="1:27" hidden="1">
      <c r="A5" s="33" t="s">
        <v>51</v>
      </c>
      <c r="B5" s="53" t="str">
        <f>VLOOKUP('Project documentation'!A5,'Project List 2026'!B:E,2,0)</f>
        <v>Americas</v>
      </c>
      <c r="C5" s="41" t="s">
        <v>536</v>
      </c>
      <c r="D5" s="41" t="str">
        <f>VLOOKUP(A5,'Project List 2026'!B:F,5,0)</f>
        <v>External</v>
      </c>
      <c r="E5" s="41" t="str">
        <f>VLOOKUP(A5,'Project List 2026'!B:L,11,0)</f>
        <v>EXP</v>
      </c>
      <c r="F5" s="54" t="str">
        <f>VLOOKUP(A5,'Project List 2026'!B:I,8,0)</f>
        <v>Ongoing</v>
      </c>
      <c r="G5" s="11" t="s">
        <v>533</v>
      </c>
      <c r="H5" s="110">
        <v>46132</v>
      </c>
      <c r="I5" s="110"/>
      <c r="J5" s="11" t="s">
        <v>533</v>
      </c>
      <c r="K5" s="11" t="s">
        <v>533</v>
      </c>
      <c r="L5" s="11" t="s">
        <v>537</v>
      </c>
      <c r="M5" s="11"/>
      <c r="N5" s="11"/>
      <c r="O5" s="11"/>
      <c r="P5" s="11"/>
      <c r="Q5" s="40" t="s">
        <v>163</v>
      </c>
      <c r="R5" s="11" t="s">
        <v>299</v>
      </c>
      <c r="T5" s="89"/>
      <c r="U5" s="42"/>
      <c r="W5" s="40"/>
      <c r="X5" s="43" t="s">
        <v>538</v>
      </c>
      <c r="Y5" s="40"/>
    </row>
    <row r="6" spans="1:27" hidden="1">
      <c r="A6" s="33" t="s">
        <v>57</v>
      </c>
      <c r="B6" s="53" t="str">
        <f>VLOOKUP('Project documentation'!A6,'Project List 2026'!B:E,2,0)</f>
        <v>Americas</v>
      </c>
      <c r="C6" s="41" t="str">
        <f>VLOOKUP(A6,'Project List 2026'!B:I,4,0)</f>
        <v>Carlos Crawford</v>
      </c>
      <c r="D6" s="41" t="str">
        <f>VLOOKUP(A6,'Project List 2026'!B:F,5,0)</f>
        <v>External</v>
      </c>
      <c r="E6" s="41" t="str">
        <f>VLOOKUP(A6,'Project List 2026'!B:L,11,0)</f>
        <v>DSC</v>
      </c>
      <c r="F6" s="54" t="s">
        <v>23</v>
      </c>
      <c r="G6" s="11" t="s">
        <v>533</v>
      </c>
      <c r="H6" s="110">
        <v>46132</v>
      </c>
      <c r="I6" s="110"/>
      <c r="J6" s="40" t="s">
        <v>533</v>
      </c>
      <c r="K6" s="11" t="s">
        <v>533</v>
      </c>
      <c r="L6" s="40" t="s">
        <v>539</v>
      </c>
      <c r="M6" s="11"/>
      <c r="N6" s="11"/>
      <c r="O6" s="11"/>
      <c r="P6" s="11"/>
      <c r="U6" s="49"/>
      <c r="V6"/>
      <c r="X6"/>
    </row>
    <row r="7" spans="1:27" hidden="1">
      <c r="A7" s="33" t="s">
        <v>115</v>
      </c>
      <c r="B7" s="53" t="str">
        <f>VLOOKUP('Project documentation'!A7,'Project List 2026'!B:E,2,0)</f>
        <v>Americas</v>
      </c>
      <c r="C7" s="41" t="str">
        <f>VLOOKUP(A7,'Project List 2026'!B:I,4,0)</f>
        <v>Daniela Ocampo</v>
      </c>
      <c r="D7" s="41" t="str">
        <f>VLOOKUP(A7,'Project List 2026'!B:F,5,0)</f>
        <v>External</v>
      </c>
      <c r="E7" s="41" t="str">
        <f>VLOOKUP(A7,'Project List 2026'!B:L,11,0)</f>
        <v>DSC</v>
      </c>
      <c r="F7" s="54" t="str">
        <f>VLOOKUP(A7,'Project List 2026'!B:I,8,0)</f>
        <v>Ongoing</v>
      </c>
      <c r="G7" s="11" t="s">
        <v>533</v>
      </c>
      <c r="H7" s="110">
        <v>46132</v>
      </c>
      <c r="I7" s="110"/>
      <c r="J7" s="11" t="s">
        <v>533</v>
      </c>
      <c r="K7" s="11" t="s">
        <v>533</v>
      </c>
      <c r="L7" s="11" t="s">
        <v>540</v>
      </c>
      <c r="M7" s="11"/>
      <c r="N7" s="11"/>
      <c r="O7" s="11"/>
      <c r="P7" s="11"/>
      <c r="U7" s="49"/>
      <c r="V7"/>
      <c r="X7"/>
    </row>
    <row r="8" spans="1:27" hidden="1">
      <c r="A8" s="41" t="s">
        <v>125</v>
      </c>
      <c r="B8" s="53" t="str">
        <f>VLOOKUP('Project documentation'!A8,'Project List 2026'!B:E,2,0)</f>
        <v>Americas</v>
      </c>
      <c r="C8" s="41" t="str">
        <f>VLOOKUP(A8,'Project List 2026'!B:I,4,0)</f>
        <v>Daniela Ocampo</v>
      </c>
      <c r="D8" s="41" t="str">
        <f>VLOOKUP(A8,'Project List 2026'!B:F,5,0)</f>
        <v>External</v>
      </c>
      <c r="E8" s="41" t="str">
        <f>VLOOKUP(A8,'Project List 2026'!B:L,11,0)</f>
        <v>EXP</v>
      </c>
      <c r="F8" s="54" t="str">
        <f>VLOOKUP(A8,'Project List 2026'!B:I,8,0)</f>
        <v>Completed</v>
      </c>
      <c r="G8" s="11" t="s">
        <v>532</v>
      </c>
      <c r="H8" s="11"/>
      <c r="I8" s="11"/>
      <c r="J8" s="11" t="s">
        <v>532</v>
      </c>
      <c r="K8" s="11" t="s">
        <v>532</v>
      </c>
      <c r="L8" s="11" t="s">
        <v>532</v>
      </c>
      <c r="M8" s="11" t="s">
        <v>532</v>
      </c>
      <c r="N8" s="11"/>
      <c r="O8" s="11" t="s">
        <v>532</v>
      </c>
      <c r="P8" s="11"/>
      <c r="U8" s="49"/>
      <c r="V8"/>
      <c r="X8"/>
    </row>
    <row r="9" spans="1:27" hidden="1">
      <c r="A9" s="41" t="s">
        <v>128</v>
      </c>
      <c r="B9" s="53" t="str">
        <f>VLOOKUP('Project documentation'!A9,'Project List 2026'!B:E,2,0)</f>
        <v>Americas</v>
      </c>
      <c r="C9" s="41" t="str">
        <f>VLOOKUP(A9,'Project List 2026'!B:I,4,0)</f>
        <v>Daniela Ocampo</v>
      </c>
      <c r="D9" s="41" t="str">
        <f>VLOOKUP(A9,'Project List 2026'!B:F,5,0)</f>
        <v>External</v>
      </c>
      <c r="E9" s="41" t="str">
        <f>VLOOKUP(A9,'Project List 2026'!B:L,11,0)</f>
        <v>EXP</v>
      </c>
      <c r="F9" s="54" t="str">
        <f>VLOOKUP(A9,'Project List 2026'!B:I,8,0)</f>
        <v>Completed</v>
      </c>
      <c r="G9" s="11" t="s">
        <v>532</v>
      </c>
      <c r="H9" s="11"/>
      <c r="I9" s="11"/>
      <c r="J9" s="11" t="s">
        <v>532</v>
      </c>
      <c r="K9" s="11" t="s">
        <v>532</v>
      </c>
      <c r="L9" s="11" t="s">
        <v>532</v>
      </c>
      <c r="M9" s="11" t="s">
        <v>532</v>
      </c>
      <c r="N9" s="11"/>
      <c r="O9" s="11" t="s">
        <v>532</v>
      </c>
      <c r="P9" s="11"/>
      <c r="U9" s="49"/>
      <c r="V9"/>
      <c r="X9"/>
    </row>
    <row r="10" spans="1:27" hidden="1">
      <c r="A10" s="41" t="s">
        <v>132</v>
      </c>
      <c r="B10" s="53" t="str">
        <f>VLOOKUP('Project documentation'!A10,'Project List 2026'!B:E,2,0)</f>
        <v>Americas</v>
      </c>
      <c r="C10" s="41" t="str">
        <f>VLOOKUP(A10,'Project List 2026'!B:I,4,0)</f>
        <v>Daniela Ocampo</v>
      </c>
      <c r="D10" s="41" t="str">
        <f>VLOOKUP(A10,'Project List 2026'!B:F,5,0)</f>
        <v>External</v>
      </c>
      <c r="E10" s="41" t="str">
        <f>VLOOKUP(A10,'Project List 2026'!B:L,11,0)</f>
        <v>EXP</v>
      </c>
      <c r="F10" s="54" t="str">
        <f>VLOOKUP(A10,'Project List 2026'!B:I,8,0)</f>
        <v>Ongoing</v>
      </c>
      <c r="G10" s="11" t="s">
        <v>532</v>
      </c>
      <c r="H10" s="11"/>
      <c r="I10" s="11"/>
      <c r="J10" s="11" t="s">
        <v>532</v>
      </c>
      <c r="K10" s="11" t="s">
        <v>532</v>
      </c>
      <c r="L10" s="11" t="s">
        <v>532</v>
      </c>
      <c r="M10" s="11" t="s">
        <v>532</v>
      </c>
      <c r="N10" s="11"/>
      <c r="O10" s="11" t="s">
        <v>532</v>
      </c>
      <c r="P10" s="11"/>
      <c r="U10" s="49"/>
      <c r="V10"/>
      <c r="X10"/>
    </row>
    <row r="11" spans="1:27" hidden="1">
      <c r="A11" s="33" t="s">
        <v>148</v>
      </c>
      <c r="B11" s="53" t="str">
        <f>VLOOKUP('Project documentation'!A11,'Project List 2026'!B:E,2,0)</f>
        <v>Americas</v>
      </c>
      <c r="C11" s="41" t="str">
        <f>VLOOKUP(A11,'Project List 2026'!B:I,4,0)</f>
        <v>Dayanna Abarca</v>
      </c>
      <c r="D11" s="41" t="str">
        <f>VLOOKUP(A11,'Project List 2026'!B:F,5,0)</f>
        <v>External</v>
      </c>
      <c r="E11" s="41" t="str">
        <f>VLOOKUP(A11,'Project List 2026'!B:L,11,0)</f>
        <v>DSC</v>
      </c>
      <c r="F11" s="54" t="str">
        <f>VLOOKUP(A11,'Project List 2026'!B:I,8,0)</f>
        <v>Ongoing</v>
      </c>
      <c r="G11" s="11" t="s">
        <v>533</v>
      </c>
      <c r="H11" s="110">
        <v>46052</v>
      </c>
      <c r="I11" s="110"/>
      <c r="J11" s="11" t="s">
        <v>533</v>
      </c>
      <c r="K11" s="11" t="s">
        <v>533</v>
      </c>
      <c r="L11" s="11" t="s">
        <v>541</v>
      </c>
      <c r="M11" s="11" t="s">
        <v>533</v>
      </c>
      <c r="N11" s="11"/>
      <c r="O11" s="11"/>
      <c r="P11" s="11"/>
      <c r="R11" s="40" t="s">
        <v>542</v>
      </c>
      <c r="U11" s="49"/>
      <c r="V11"/>
      <c r="X11"/>
    </row>
    <row r="12" spans="1:27" hidden="1">
      <c r="A12" s="33" t="s">
        <v>361</v>
      </c>
      <c r="B12" s="53" t="str">
        <f>VLOOKUP('Project documentation'!A12,'Project List 2026'!B:E,2,0)</f>
        <v>Americas</v>
      </c>
      <c r="C12" s="41" t="str">
        <f>VLOOKUP(A12,'Project List 2026'!B:I,4,0)</f>
        <v>William Exham</v>
      </c>
      <c r="D12" s="41" t="str">
        <f>VLOOKUP(A12,'Project List 2026'!B:F,5,0)</f>
        <v>External</v>
      </c>
      <c r="E12" s="41" t="str">
        <f>VLOOKUP(A12,'Project List 2026'!B:L,11,0)</f>
        <v>DSC</v>
      </c>
      <c r="F12" s="54" t="str">
        <f>VLOOKUP(A12,'Project List 2026'!B:I,8,0)</f>
        <v>Ongoing</v>
      </c>
      <c r="G12" s="11" t="s">
        <v>533</v>
      </c>
      <c r="H12" s="110">
        <v>46052</v>
      </c>
      <c r="I12" s="110"/>
      <c r="J12" s="11" t="s">
        <v>533</v>
      </c>
      <c r="K12" s="11" t="s">
        <v>533</v>
      </c>
      <c r="L12" s="11" t="s">
        <v>543</v>
      </c>
      <c r="M12" s="11"/>
      <c r="N12" s="11"/>
      <c r="O12" s="11"/>
      <c r="P12" s="11"/>
      <c r="Q12" s="40" t="s">
        <v>163</v>
      </c>
      <c r="R12" s="11" t="s">
        <v>544</v>
      </c>
      <c r="S12" s="11"/>
      <c r="T12" s="89"/>
      <c r="U12" s="42"/>
      <c r="V12" s="40" t="s">
        <v>538</v>
      </c>
      <c r="W12" s="40"/>
      <c r="Y12" s="40"/>
      <c r="Z12" s="40" t="s">
        <v>538</v>
      </c>
    </row>
    <row r="13" spans="1:27" hidden="1">
      <c r="A13" s="41" t="s">
        <v>76</v>
      </c>
      <c r="B13" s="53" t="str">
        <f>VLOOKUP('Project documentation'!A13,'Project List 2026'!B:E,2,0)</f>
        <v>APAC</v>
      </c>
      <c r="C13" s="41" t="str">
        <f>VLOOKUP(A13,'Project List 2026'!B:I,4,0)</f>
        <v>Daniel Lai</v>
      </c>
      <c r="D13" s="41" t="str">
        <f>VLOOKUP(A13,'Project List 2026'!B:F,5,0)</f>
        <v>Internal</v>
      </c>
      <c r="E13" s="41" t="str">
        <f>VLOOKUP(A13,'Project List 2026'!B:L,11,0)</f>
        <v>ITS</v>
      </c>
      <c r="F13" s="54" t="str">
        <f>VLOOKUP(A13,'Project List 2026'!B:I,8,0)</f>
        <v>Completed</v>
      </c>
      <c r="G13" s="11" t="s">
        <v>533</v>
      </c>
      <c r="H13" s="11"/>
      <c r="I13" s="11"/>
      <c r="J13" s="11" t="s">
        <v>533</v>
      </c>
      <c r="K13" s="11" t="s">
        <v>533</v>
      </c>
      <c r="L13" s="11" t="s">
        <v>533</v>
      </c>
      <c r="M13" s="11" t="s">
        <v>545</v>
      </c>
      <c r="N13" s="11"/>
      <c r="O13" s="11" t="s">
        <v>545</v>
      </c>
      <c r="P13" s="11"/>
      <c r="Q13" s="11"/>
      <c r="R13" s="11" t="s">
        <v>546</v>
      </c>
      <c r="S13" s="11" t="s">
        <v>538</v>
      </c>
      <c r="T13" s="89"/>
      <c r="U13" s="42" t="s">
        <v>538</v>
      </c>
      <c r="W13" s="40"/>
      <c r="X13"/>
    </row>
    <row r="14" spans="1:27" hidden="1">
      <c r="A14" s="41" t="s">
        <v>80</v>
      </c>
      <c r="B14" s="53" t="str">
        <f>VLOOKUP('Project documentation'!A14,'Project List 2026'!B:E,2,0)</f>
        <v>APAC</v>
      </c>
      <c r="C14" s="41" t="str">
        <f>VLOOKUP(A14,'Project List 2026'!B:I,4,0)</f>
        <v>Daniel Lai</v>
      </c>
      <c r="D14" s="41" t="str">
        <f>VLOOKUP(A14,'Project List 2026'!B:F,5,0)</f>
        <v>Internal</v>
      </c>
      <c r="E14" s="41" t="str">
        <f>VLOOKUP(A14,'Project List 2026'!B:L,11,0)</f>
        <v>ITS</v>
      </c>
      <c r="F14" s="54" t="str">
        <f>VLOOKUP(A14,'Project List 2026'!B:I,8,0)</f>
        <v>Ongoing</v>
      </c>
      <c r="G14" s="11" t="s">
        <v>545</v>
      </c>
      <c r="H14" s="110">
        <v>46178</v>
      </c>
      <c r="I14" s="110">
        <v>46209</v>
      </c>
      <c r="J14" s="11" t="s">
        <v>545</v>
      </c>
      <c r="K14" s="11" t="s">
        <v>533</v>
      </c>
      <c r="L14" s="19" t="s">
        <v>547</v>
      </c>
      <c r="M14" s="11"/>
      <c r="N14" s="11"/>
      <c r="O14" s="11"/>
      <c r="P14" s="11"/>
      <c r="Q14" s="40" t="s">
        <v>163</v>
      </c>
      <c r="R14" s="11" t="s">
        <v>548</v>
      </c>
      <c r="S14" s="11" t="s">
        <v>538</v>
      </c>
      <c r="T14" s="89"/>
      <c r="U14" s="42"/>
      <c r="W14" s="40" t="s">
        <v>538</v>
      </c>
      <c r="Y14" s="40"/>
    </row>
    <row r="15" spans="1:27" hidden="1">
      <c r="A15" s="41" t="s">
        <v>263</v>
      </c>
      <c r="B15" s="53" t="str">
        <f>VLOOKUP('Project documentation'!A15,'Project List 2026'!B:E,2,0)</f>
        <v>APAC</v>
      </c>
      <c r="C15" s="41" t="str">
        <f>VLOOKUP(A15,'Project List 2026'!B:I,4,0)</f>
        <v>Lisette Fincke</v>
      </c>
      <c r="D15" s="41" t="str">
        <f>VLOOKUP(A15,'Project List 2026'!B:F,5,0)</f>
        <v>External</v>
      </c>
      <c r="E15" s="41" t="str">
        <f>VLOOKUP(A15,'Project List 2026'!B:L,11,0)</f>
        <v>EXP</v>
      </c>
      <c r="F15" s="54" t="str">
        <f>VLOOKUP(A15,'Project List 2026'!B:I,8,0)</f>
        <v>Ongoing</v>
      </c>
      <c r="G15" s="11" t="s">
        <v>533</v>
      </c>
      <c r="H15" s="11"/>
      <c r="I15" s="11"/>
      <c r="J15" s="11" t="s">
        <v>533</v>
      </c>
      <c r="K15" s="11" t="s">
        <v>533</v>
      </c>
      <c r="L15" s="11" t="s">
        <v>549</v>
      </c>
      <c r="M15" s="11"/>
      <c r="N15" s="11"/>
      <c r="O15" s="11"/>
      <c r="P15" s="11"/>
      <c r="Q15" s="40" t="s">
        <v>163</v>
      </c>
      <c r="R15" s="11" t="s">
        <v>550</v>
      </c>
      <c r="S15" s="11"/>
      <c r="T15" s="91"/>
      <c r="U15" s="42"/>
      <c r="W15" s="40" t="s">
        <v>538</v>
      </c>
      <c r="Y15" s="40" t="s">
        <v>538</v>
      </c>
    </row>
    <row r="16" spans="1:27" hidden="1">
      <c r="A16" s="41" t="s">
        <v>267</v>
      </c>
      <c r="B16" s="53" t="str">
        <f>VLOOKUP('Project documentation'!A16,'Project List 2026'!B:E,2,0)</f>
        <v>APAC</v>
      </c>
      <c r="C16" s="41" t="str">
        <f>VLOOKUP(A16,'Project List 2026'!B:I,4,0)</f>
        <v>Lisette Fincke</v>
      </c>
      <c r="D16" s="41" t="str">
        <f>VLOOKUP(A16,'Project List 2026'!B:F,5,0)</f>
        <v>Internal</v>
      </c>
      <c r="E16" s="41" t="str">
        <f>VLOOKUP(A16,'Project List 2026'!B:L,11,0)</f>
        <v>ITS</v>
      </c>
      <c r="F16" s="54" t="str">
        <f>VLOOKUP(A16,'Project List 2026'!B:I,8,0)</f>
        <v>Ongoing</v>
      </c>
      <c r="G16" s="11" t="s">
        <v>532</v>
      </c>
      <c r="H16" s="11"/>
      <c r="I16" s="11"/>
      <c r="J16" s="11" t="s">
        <v>532</v>
      </c>
      <c r="K16" s="11" t="s">
        <v>532</v>
      </c>
      <c r="L16" s="11" t="s">
        <v>532</v>
      </c>
      <c r="M16" s="11" t="s">
        <v>532</v>
      </c>
      <c r="N16" s="11"/>
      <c r="O16" s="11" t="s">
        <v>532</v>
      </c>
      <c r="P16" s="11"/>
      <c r="Q16" s="11"/>
      <c r="R16" s="11"/>
      <c r="S16" s="11"/>
      <c r="T16" s="11"/>
      <c r="U16" s="49"/>
      <c r="V16"/>
      <c r="X16"/>
      <c r="AA16" t="s">
        <v>551</v>
      </c>
    </row>
    <row r="17" spans="1:27" hidden="1">
      <c r="A17" s="41" t="s">
        <v>276</v>
      </c>
      <c r="B17" s="53" t="str">
        <f>VLOOKUP('Project documentation'!A17,'Project List 2026'!B:E,2,0)</f>
        <v>APAC</v>
      </c>
      <c r="C17" s="41" t="str">
        <f>VLOOKUP(A17,'Project List 2026'!B:I,4,0)</f>
        <v>Muhammad Yusry</v>
      </c>
      <c r="D17" s="41" t="str">
        <f>VLOOKUP(A17,'Project List 2026'!B:F,5,0)</f>
        <v>Internal</v>
      </c>
      <c r="E17" s="41" t="str">
        <f>VLOOKUP(A17,'Project List 2026'!B:L,11,0)</f>
        <v>ITS</v>
      </c>
      <c r="F17" s="54" t="str">
        <f>VLOOKUP(A17,'Project List 2026'!B:I,8,0)</f>
        <v>Completed</v>
      </c>
      <c r="G17" s="11" t="s">
        <v>533</v>
      </c>
      <c r="H17" s="11"/>
      <c r="I17" s="11"/>
      <c r="J17" s="11" t="s">
        <v>533</v>
      </c>
      <c r="K17" s="11" t="s">
        <v>532</v>
      </c>
      <c r="L17" s="11" t="s">
        <v>532</v>
      </c>
      <c r="M17" s="11" t="s">
        <v>533</v>
      </c>
      <c r="N17" s="11"/>
      <c r="O17" s="11" t="s">
        <v>533</v>
      </c>
      <c r="P17" s="11"/>
      <c r="Q17" s="11"/>
      <c r="R17" s="11"/>
      <c r="S17" s="11"/>
      <c r="T17" s="11"/>
      <c r="U17" s="49"/>
      <c r="V17"/>
      <c r="X17"/>
    </row>
    <row r="18" spans="1:27" hidden="1">
      <c r="A18" s="33" t="s">
        <v>279</v>
      </c>
      <c r="B18" s="53" t="str">
        <f>VLOOKUP('Project documentation'!A18,'Project List 2026'!B:E,2,0)</f>
        <v>APAC</v>
      </c>
      <c r="C18" s="41" t="str">
        <f>VLOOKUP(A18,'Project List 2026'!B:I,4,0)</f>
        <v>Muhammad Yusry</v>
      </c>
      <c r="D18" s="41" t="str">
        <f>VLOOKUP(A18,'Project List 2026'!B:F,5,0)</f>
        <v>External</v>
      </c>
      <c r="E18" s="41" t="str">
        <f>VLOOKUP(A18,'Project List 2026'!B:L,11,0)</f>
        <v>DSC</v>
      </c>
      <c r="F18" s="54" t="str">
        <f>VLOOKUP(A18,'Project List 2026'!B:I,8,0)</f>
        <v>Completed</v>
      </c>
      <c r="G18" s="11" t="s">
        <v>533</v>
      </c>
      <c r="H18" s="11"/>
      <c r="I18" s="11"/>
      <c r="J18" s="11"/>
      <c r="K18" s="11" t="s">
        <v>533</v>
      </c>
      <c r="L18" s="11" t="s">
        <v>552</v>
      </c>
      <c r="M18" s="11" t="s">
        <v>533</v>
      </c>
      <c r="N18" s="11"/>
      <c r="O18" s="11" t="s">
        <v>545</v>
      </c>
      <c r="P18" s="11"/>
      <c r="Q18" s="11"/>
      <c r="R18" s="11" t="s">
        <v>553</v>
      </c>
      <c r="S18" s="11"/>
      <c r="T18" s="89"/>
      <c r="U18" s="42"/>
      <c r="W18" s="40"/>
      <c r="X18"/>
    </row>
    <row r="19" spans="1:27" hidden="1">
      <c r="A19" t="s">
        <v>286</v>
      </c>
      <c r="B19" s="53" t="str">
        <f>VLOOKUP('Project documentation'!A19,'Project List 2026'!B:E,2,0)</f>
        <v>APAC</v>
      </c>
      <c r="C19" s="41" t="str">
        <f>VLOOKUP(A19,'Project List 2026'!B:I,4,0)</f>
        <v>Muhammad Yusry</v>
      </c>
      <c r="D19" s="41" t="str">
        <f>VLOOKUP(A19,'Project List 2026'!B:F,5,0)</f>
        <v>Internal</v>
      </c>
      <c r="E19" s="41" t="str">
        <f>VLOOKUP(A19,'Project List 2026'!B:L,11,0)</f>
        <v>ITS</v>
      </c>
      <c r="F19" s="54" t="str">
        <f>VLOOKUP(A19,'Project List 2026'!B:I,8,0)</f>
        <v>Ongoing</v>
      </c>
      <c r="G19" s="11" t="s">
        <v>545</v>
      </c>
      <c r="H19" s="134">
        <v>46185</v>
      </c>
      <c r="I19" s="134"/>
      <c r="J19" s="40" t="s">
        <v>545</v>
      </c>
      <c r="K19" s="11" t="s">
        <v>533</v>
      </c>
      <c r="L19" s="11" t="s">
        <v>554</v>
      </c>
      <c r="M19" s="11" t="s">
        <v>545</v>
      </c>
      <c r="N19" s="11"/>
      <c r="O19" s="11"/>
      <c r="P19" s="11"/>
      <c r="R19" s="40" t="s">
        <v>546</v>
      </c>
      <c r="T19" s="89"/>
      <c r="U19" s="49"/>
      <c r="W19" s="40"/>
      <c r="X19"/>
    </row>
    <row r="20" spans="1:27" hidden="1">
      <c r="A20" t="s">
        <v>283</v>
      </c>
      <c r="B20" s="53" t="str">
        <f>VLOOKUP('Project documentation'!A20,'Project List 2026'!B:E,2,0)</f>
        <v>APAC</v>
      </c>
      <c r="C20" s="41" t="str">
        <f>VLOOKUP(A20,'Project List 2026'!B:I,4,0)</f>
        <v>Muhammad Yusry</v>
      </c>
      <c r="D20" s="41" t="str">
        <f>VLOOKUP(A20,'Project List 2026'!B:F,5,0)</f>
        <v>Internal</v>
      </c>
      <c r="E20" s="41" t="str">
        <f>VLOOKUP(A20,'Project List 2026'!B:L,11,0)</f>
        <v>ITS</v>
      </c>
      <c r="F20" s="54" t="str">
        <f>VLOOKUP(A20,'Project List 2026'!B:I,8,0)</f>
        <v>Ongoing</v>
      </c>
      <c r="G20" s="11" t="s">
        <v>545</v>
      </c>
      <c r="H20" s="134">
        <v>46185</v>
      </c>
      <c r="I20" s="134"/>
      <c r="J20" s="40" t="s">
        <v>545</v>
      </c>
      <c r="K20" s="11" t="s">
        <v>532</v>
      </c>
      <c r="L20" s="11" t="s">
        <v>555</v>
      </c>
      <c r="M20" s="11" t="s">
        <v>545</v>
      </c>
      <c r="N20" s="11"/>
      <c r="O20" s="11"/>
      <c r="P20" s="11"/>
      <c r="R20" s="40" t="s">
        <v>556</v>
      </c>
      <c r="T20" s="89"/>
      <c r="U20" s="49"/>
      <c r="V20"/>
      <c r="X20"/>
    </row>
    <row r="21" spans="1:27" hidden="1">
      <c r="A21" s="41" t="s">
        <v>288</v>
      </c>
      <c r="B21" s="53" t="str">
        <f>VLOOKUP('Project documentation'!A21,'Project List 2026'!B:E,2,0)</f>
        <v>APAC</v>
      </c>
      <c r="C21" s="41" t="str">
        <f>VLOOKUP(A21,'Project List 2026'!B:I,4,0)</f>
        <v>Muthu Ramasamy</v>
      </c>
      <c r="D21" s="41" t="str">
        <f>VLOOKUP(A21,'Project List 2026'!B:F,5,0)</f>
        <v>External</v>
      </c>
      <c r="E21" s="41" t="str">
        <f>VLOOKUP(A21,'Project List 2026'!B:L,11,0)</f>
        <v>Multiple</v>
      </c>
      <c r="F21" s="54" t="str">
        <f>VLOOKUP(A21,'Project List 2026'!B:I,8,0)</f>
        <v>Ongoing</v>
      </c>
      <c r="G21" s="11" t="s">
        <v>532</v>
      </c>
      <c r="H21" s="11"/>
      <c r="I21" s="11"/>
      <c r="J21" s="11" t="s">
        <v>532</v>
      </c>
      <c r="K21" s="11" t="s">
        <v>532</v>
      </c>
      <c r="L21" s="11" t="s">
        <v>35</v>
      </c>
      <c r="M21" s="11" t="s">
        <v>532</v>
      </c>
      <c r="N21" s="11"/>
      <c r="O21" s="11" t="s">
        <v>532</v>
      </c>
      <c r="P21" s="11"/>
      <c r="Q21" s="11"/>
      <c r="R21" s="11"/>
      <c r="S21" s="11"/>
      <c r="T21" s="11"/>
      <c r="U21" s="49"/>
      <c r="V21"/>
      <c r="X21"/>
      <c r="AA21" t="s">
        <v>126</v>
      </c>
    </row>
    <row r="22" spans="1:27" hidden="1">
      <c r="A22" s="33" t="s">
        <v>291</v>
      </c>
      <c r="B22" s="53" t="str">
        <f>VLOOKUP('Project documentation'!A22,'Project List 2026'!B:E,2,0)</f>
        <v>APAC</v>
      </c>
      <c r="C22" s="41" t="str">
        <f>VLOOKUP(A22,'Project List 2026'!B:I,4,0)</f>
        <v>Muthu Ramasamy</v>
      </c>
      <c r="D22" s="41" t="str">
        <f>VLOOKUP(A22,'Project List 2026'!B:F,5,0)</f>
        <v>External</v>
      </c>
      <c r="E22" s="41" t="str">
        <f>VLOOKUP(A22,'Project List 2026'!B:L,11,0)</f>
        <v>EXP</v>
      </c>
      <c r="F22" s="54" t="str">
        <f>VLOOKUP(A22,'Project List 2026'!B:I,8,0)</f>
        <v>Ongoing</v>
      </c>
      <c r="G22" s="11" t="s">
        <v>545</v>
      </c>
      <c r="H22" s="134">
        <v>46203</v>
      </c>
      <c r="I22" s="134"/>
      <c r="J22" s="11" t="s">
        <v>545</v>
      </c>
      <c r="K22" s="11" t="s">
        <v>533</v>
      </c>
      <c r="L22" s="11" t="s">
        <v>557</v>
      </c>
      <c r="M22" s="11" t="s">
        <v>545</v>
      </c>
      <c r="N22" s="11"/>
      <c r="O22" s="11"/>
      <c r="P22" s="11"/>
      <c r="Q22" s="11"/>
      <c r="R22" s="11"/>
      <c r="S22" s="11"/>
      <c r="T22" s="11"/>
      <c r="U22" s="49"/>
      <c r="V22"/>
      <c r="X22"/>
    </row>
    <row r="23" spans="1:27" hidden="1">
      <c r="A23" s="33" t="s">
        <v>294</v>
      </c>
      <c r="B23" s="53" t="str">
        <f>VLOOKUP('Project documentation'!A23,'Project List 2026'!B:E,2,0)</f>
        <v>APAC</v>
      </c>
      <c r="C23" s="41" t="str">
        <f>VLOOKUP(A23,'Project List 2026'!B:I,4,0)</f>
        <v>Muthu Ramasamy</v>
      </c>
      <c r="D23" s="41" t="str">
        <f>VLOOKUP(A23,'Project List 2026'!B:F,5,0)</f>
        <v>External</v>
      </c>
      <c r="E23" s="41" t="str">
        <f>VLOOKUP(A23,'Project List 2026'!B:L,11,0)</f>
        <v>EXP</v>
      </c>
      <c r="F23" s="54" t="str">
        <f>VLOOKUP(A23,'Project List 2026'!B:I,8,0)</f>
        <v>Completed</v>
      </c>
      <c r="G23" s="11" t="s">
        <v>545</v>
      </c>
      <c r="H23" s="134">
        <v>46203</v>
      </c>
      <c r="I23" s="134"/>
      <c r="J23" s="11" t="s">
        <v>545</v>
      </c>
      <c r="K23" s="11" t="s">
        <v>533</v>
      </c>
      <c r="L23" s="11" t="s">
        <v>558</v>
      </c>
      <c r="M23" s="11" t="s">
        <v>545</v>
      </c>
      <c r="N23" s="11"/>
      <c r="O23" s="11"/>
      <c r="P23" s="11"/>
      <c r="Q23" s="11"/>
      <c r="R23" s="11"/>
      <c r="S23" s="11"/>
      <c r="T23" s="11"/>
      <c r="U23" s="49"/>
      <c r="V23"/>
      <c r="X23"/>
    </row>
    <row r="24" spans="1:27" hidden="1">
      <c r="A24" s="41" t="s">
        <v>312</v>
      </c>
      <c r="B24" s="53" t="str">
        <f>VLOOKUP('Project documentation'!A24,'Project List 2026'!B:E,2,0)</f>
        <v>APAC</v>
      </c>
      <c r="C24" s="41" t="str">
        <f>VLOOKUP(A24,'Project List 2026'!B:I,4,0)</f>
        <v>Prosen Chandra</v>
      </c>
      <c r="D24" s="41" t="str">
        <f>VLOOKUP(A24,'Project List 2026'!B:F,5,0)</f>
        <v>Internal</v>
      </c>
      <c r="E24" s="41" t="str">
        <f>VLOOKUP(A24,'Project List 2026'!B:L,11,0)</f>
        <v>ITS</v>
      </c>
      <c r="F24" s="54" t="str">
        <f>VLOOKUP(A24,'Project List 2026'!B:I,8,0)</f>
        <v>Ongoing</v>
      </c>
      <c r="G24" s="11" t="s">
        <v>533</v>
      </c>
      <c r="H24" s="11"/>
      <c r="I24" s="11"/>
      <c r="J24" s="11" t="s">
        <v>533</v>
      </c>
      <c r="K24" s="11" t="s">
        <v>533</v>
      </c>
      <c r="L24" s="11" t="s">
        <v>559</v>
      </c>
      <c r="M24" s="11" t="s">
        <v>545</v>
      </c>
      <c r="N24" s="11"/>
      <c r="O24" s="11"/>
      <c r="P24" s="11"/>
      <c r="Q24" s="40" t="s">
        <v>163</v>
      </c>
      <c r="R24" s="11" t="s">
        <v>560</v>
      </c>
      <c r="S24" s="11" t="s">
        <v>538</v>
      </c>
      <c r="T24" s="89"/>
      <c r="U24" s="42" t="s">
        <v>538</v>
      </c>
      <c r="W24" s="40" t="s">
        <v>538</v>
      </c>
      <c r="Y24" s="40" t="s">
        <v>538</v>
      </c>
    </row>
    <row r="25" spans="1:27" hidden="1">
      <c r="A25" s="41" t="s">
        <v>316</v>
      </c>
      <c r="B25" s="53" t="str">
        <f>VLOOKUP('Project documentation'!A25,'Project List 2026'!B:E,2,0)</f>
        <v>APAC</v>
      </c>
      <c r="C25" s="41" t="str">
        <f>VLOOKUP(A25,'Project List 2026'!B:I,4,0)</f>
        <v>Prosen Chandra</v>
      </c>
      <c r="D25" s="41" t="str">
        <f>VLOOKUP(A25,'Project List 2026'!B:F,5,0)</f>
        <v>Internal</v>
      </c>
      <c r="E25" s="41" t="str">
        <f>VLOOKUP(A25,'Project List 2026'!B:L,11,0)</f>
        <v>ITS</v>
      </c>
      <c r="F25" s="54" t="str">
        <f>VLOOKUP(A25,'Project List 2026'!B:I,8,0)</f>
        <v>Completed</v>
      </c>
      <c r="G25" s="11" t="s">
        <v>533</v>
      </c>
      <c r="H25" s="11"/>
      <c r="I25" s="11"/>
      <c r="J25" s="11" t="s">
        <v>533</v>
      </c>
      <c r="K25" s="11" t="s">
        <v>532</v>
      </c>
      <c r="L25" s="11" t="s">
        <v>533</v>
      </c>
      <c r="M25" s="11" t="s">
        <v>533</v>
      </c>
      <c r="N25" s="11"/>
      <c r="O25" s="11" t="s">
        <v>533</v>
      </c>
      <c r="P25" s="11"/>
      <c r="Q25" s="11"/>
      <c r="R25" s="11"/>
      <c r="S25" s="11"/>
      <c r="T25" s="11"/>
      <c r="U25" s="42"/>
      <c r="V25"/>
      <c r="X25"/>
    </row>
    <row r="26" spans="1:27" hidden="1">
      <c r="A26" s="41" t="s">
        <v>561</v>
      </c>
      <c r="B26" s="53" t="e">
        <f>VLOOKUP('Project documentation'!A26,'Project List 2026'!B:E,2,0)</f>
        <v>#N/A</v>
      </c>
      <c r="C26" s="41" t="e">
        <f>VLOOKUP(A26,'Project List 2026'!B:I,4,0)</f>
        <v>#N/A</v>
      </c>
      <c r="D26" s="41" t="e">
        <f>VLOOKUP(A26,'Project List 2026'!B:F,5,0)</f>
        <v>#N/A</v>
      </c>
      <c r="E26" s="41" t="e">
        <f>VLOOKUP(A26,'Project List 2026'!B:L,11,0)</f>
        <v>#N/A</v>
      </c>
      <c r="F26" s="54" t="e">
        <f>VLOOKUP(A26,'Project List 2026'!B:I,8,0)</f>
        <v>#N/A</v>
      </c>
      <c r="G26" s="11" t="s">
        <v>533</v>
      </c>
      <c r="H26" s="11"/>
      <c r="I26" s="11"/>
      <c r="J26" s="11" t="s">
        <v>533</v>
      </c>
      <c r="K26" s="11" t="s">
        <v>532</v>
      </c>
      <c r="L26" s="11" t="s">
        <v>562</v>
      </c>
      <c r="M26" s="11" t="s">
        <v>545</v>
      </c>
      <c r="N26" s="11"/>
      <c r="O26" s="11"/>
      <c r="P26" s="11"/>
      <c r="Q26" s="40" t="s">
        <v>163</v>
      </c>
      <c r="R26" s="11" t="s">
        <v>563</v>
      </c>
      <c r="S26" s="11"/>
      <c r="T26" s="90"/>
      <c r="U26" s="42"/>
      <c r="W26" s="40" t="s">
        <v>538</v>
      </c>
      <c r="Y26" s="40"/>
    </row>
    <row r="27" spans="1:27" hidden="1">
      <c r="A27" s="41" t="s">
        <v>328</v>
      </c>
      <c r="B27" s="53" t="e">
        <f>VLOOKUP('Project documentation'!A27,'Project List 2026'!B:E,2,0)</f>
        <v>#N/A</v>
      </c>
      <c r="C27" s="41" t="e">
        <f>VLOOKUP(A27,'Project List 2026'!B:I,4,0)</f>
        <v>#N/A</v>
      </c>
      <c r="D27" s="41" t="e">
        <f>VLOOKUP(A27,'Project List 2026'!B:F,5,0)</f>
        <v>#N/A</v>
      </c>
      <c r="E27" s="41" t="e">
        <f>VLOOKUP(A27,'Project List 2026'!B:L,11,0)</f>
        <v>#N/A</v>
      </c>
      <c r="F27" s="54" t="e">
        <f>VLOOKUP(A27,'Project List 2026'!B:I,8,0)</f>
        <v>#N/A</v>
      </c>
      <c r="G27" s="11" t="s">
        <v>532</v>
      </c>
      <c r="H27" s="11"/>
      <c r="I27" s="11"/>
      <c r="J27" s="11" t="s">
        <v>532</v>
      </c>
      <c r="K27" s="11" t="s">
        <v>532</v>
      </c>
      <c r="L27" s="11"/>
      <c r="M27" s="11" t="s">
        <v>532</v>
      </c>
      <c r="N27" s="11"/>
      <c r="O27" s="11" t="s">
        <v>532</v>
      </c>
      <c r="P27" s="11"/>
      <c r="Q27" s="11"/>
      <c r="R27" s="11"/>
      <c r="S27" s="11"/>
      <c r="T27" s="11"/>
      <c r="U27" s="49"/>
      <c r="V27"/>
      <c r="X27"/>
      <c r="AA27" t="s">
        <v>126</v>
      </c>
    </row>
    <row r="28" spans="1:27" hidden="1">
      <c r="A28" s="41" t="s">
        <v>333</v>
      </c>
      <c r="B28" s="53" t="str">
        <f>VLOOKUP('Project documentation'!A28,'Project List 2026'!B:E,2,0)</f>
        <v>APAC</v>
      </c>
      <c r="C28" s="41" t="str">
        <f>VLOOKUP(A28,'Project List 2026'!B:I,4,0)</f>
        <v>Ruthie Buenafe</v>
      </c>
      <c r="D28" s="41" t="str">
        <f>VLOOKUP(A28,'Project List 2026'!B:F,5,0)</f>
        <v>Internal</v>
      </c>
      <c r="E28" s="41" t="str">
        <f>VLOOKUP(A28,'Project List 2026'!B:L,11,0)</f>
        <v>ITS</v>
      </c>
      <c r="F28" s="54" t="str">
        <f>VLOOKUP(A28,'Project List 2026'!B:I,8,0)</f>
        <v>Ongoing</v>
      </c>
      <c r="G28" s="11" t="s">
        <v>532</v>
      </c>
      <c r="H28" s="11"/>
      <c r="I28" s="11"/>
      <c r="J28" s="11" t="s">
        <v>532</v>
      </c>
      <c r="K28" s="11" t="s">
        <v>532</v>
      </c>
      <c r="L28" s="11"/>
      <c r="M28" s="11" t="s">
        <v>532</v>
      </c>
      <c r="N28" s="11"/>
      <c r="O28" s="11" t="s">
        <v>532</v>
      </c>
      <c r="P28" s="11"/>
      <c r="Q28" s="11"/>
      <c r="R28" s="11"/>
      <c r="S28" s="11"/>
      <c r="T28" s="11"/>
      <c r="U28" s="49"/>
      <c r="V28" s="11"/>
      <c r="X28"/>
      <c r="AA28" t="s">
        <v>126</v>
      </c>
    </row>
    <row r="29" spans="1:27" hidden="1">
      <c r="A29" s="41" t="s">
        <v>335</v>
      </c>
      <c r="B29" s="53" t="str">
        <f>VLOOKUP('Project documentation'!A29,'Project List 2026'!B:E,2,0)</f>
        <v>APAC</v>
      </c>
      <c r="C29" s="41" t="str">
        <f>VLOOKUP(A29,'Project List 2026'!B:I,4,0)</f>
        <v>Saranyah Vairavan</v>
      </c>
      <c r="D29" s="41" t="str">
        <f>VLOOKUP(A29,'Project List 2026'!B:F,5,0)</f>
        <v>External</v>
      </c>
      <c r="E29" s="41" t="str">
        <f>VLOOKUP(A29,'Project List 2026'!B:L,11,0)</f>
        <v>DGFF</v>
      </c>
      <c r="F29" s="54" t="str">
        <f>VLOOKUP(A29,'Project List 2026'!B:I,8,0)</f>
        <v>Ongoing</v>
      </c>
      <c r="G29" s="11" t="s">
        <v>533</v>
      </c>
      <c r="H29" s="11"/>
      <c r="I29" s="11"/>
      <c r="J29" s="11" t="s">
        <v>545</v>
      </c>
      <c r="K29" s="11" t="s">
        <v>533</v>
      </c>
      <c r="L29" s="11" t="s">
        <v>564</v>
      </c>
      <c r="M29" s="11" t="s">
        <v>545</v>
      </c>
      <c r="N29" s="11"/>
      <c r="O29" s="11"/>
      <c r="P29" s="11"/>
      <c r="Q29" s="40" t="s">
        <v>163</v>
      </c>
      <c r="R29" s="11" t="s">
        <v>451</v>
      </c>
      <c r="S29" s="11"/>
      <c r="T29" s="89"/>
      <c r="U29" s="42"/>
      <c r="W29" s="40"/>
      <c r="Y29" s="40" t="s">
        <v>538</v>
      </c>
    </row>
    <row r="30" spans="1:27" hidden="1">
      <c r="A30" s="41" t="s">
        <v>338</v>
      </c>
      <c r="B30" s="53" t="str">
        <f>VLOOKUP('Project documentation'!A30,'Project List 2026'!B:E,2,0)</f>
        <v>APAC</v>
      </c>
      <c r="C30" s="41" t="str">
        <f>VLOOKUP(A30,'Project List 2026'!B:I,4,0)</f>
        <v>Saranyah Vairavan</v>
      </c>
      <c r="D30" s="41" t="str">
        <f>VLOOKUP(A30,'Project List 2026'!B:F,5,0)</f>
        <v>External</v>
      </c>
      <c r="E30" s="41" t="str">
        <f>VLOOKUP(A30,'Project List 2026'!B:L,11,0)</f>
        <v>DSC</v>
      </c>
      <c r="F30" s="54" t="str">
        <f>VLOOKUP(A30,'Project List 2026'!B:I,8,0)</f>
        <v>Completed</v>
      </c>
      <c r="G30" s="11" t="s">
        <v>533</v>
      </c>
      <c r="H30" s="11"/>
      <c r="I30" s="11"/>
      <c r="J30" s="11" t="s">
        <v>533</v>
      </c>
      <c r="K30" s="11" t="s">
        <v>533</v>
      </c>
      <c r="L30" s="11" t="s">
        <v>533</v>
      </c>
      <c r="M30" s="11"/>
      <c r="N30" s="11"/>
      <c r="O30" s="11"/>
      <c r="P30" s="11"/>
      <c r="Q30" s="11"/>
      <c r="R30" s="11"/>
      <c r="S30" s="11"/>
      <c r="T30" s="11"/>
      <c r="U30" s="49"/>
      <c r="V30"/>
      <c r="X30"/>
    </row>
    <row r="31" spans="1:27" hidden="1">
      <c r="A31" s="95" t="s">
        <v>341</v>
      </c>
      <c r="B31" s="53" t="str">
        <f>VLOOKUP('Project documentation'!A31,'Project List 2026'!B:E,2,0)</f>
        <v>APAC</v>
      </c>
      <c r="C31" s="41" t="str">
        <f>VLOOKUP(A31,'Project List 2026'!B:I,4,0)</f>
        <v>Saranyah Vairavan</v>
      </c>
      <c r="D31" s="41" t="str">
        <f>VLOOKUP(A31,'Project List 2026'!B:F,5,0)</f>
        <v>External</v>
      </c>
      <c r="E31" s="41" t="str">
        <f>VLOOKUP(A31,'Project List 2026'!B:L,11,0)</f>
        <v>DSC</v>
      </c>
      <c r="F31" s="54" t="str">
        <f>VLOOKUP(A31,'Project List 2026'!B:I,8,0)</f>
        <v>Completed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49"/>
      <c r="V31"/>
      <c r="X31"/>
    </row>
    <row r="32" spans="1:27" hidden="1">
      <c r="A32" t="s">
        <v>441</v>
      </c>
      <c r="B32" s="53" t="s">
        <v>77</v>
      </c>
      <c r="C32" s="41" t="str">
        <f>VLOOKUP(A32,'Project List 2026'!B:I,4,0)</f>
        <v>Saranyah Vairavan</v>
      </c>
      <c r="D32" s="41" t="str">
        <f>VLOOKUP(A32,'Project List 2026'!B:F,5,0)</f>
        <v>External</v>
      </c>
      <c r="E32" s="41" t="str">
        <f>VLOOKUP(A32,'Project List 2026'!B:L,11,0)</f>
        <v>DGFF</v>
      </c>
      <c r="F32" s="54" t="str">
        <f>VLOOKUP(A32,'Project List 2026'!B:I,8,0)</f>
        <v>Ongoing</v>
      </c>
      <c r="G32" s="11" t="s">
        <v>533</v>
      </c>
      <c r="H32" s="11"/>
      <c r="I32" s="11"/>
      <c r="J32" s="40" t="s">
        <v>545</v>
      </c>
      <c r="K32" s="11"/>
      <c r="L32" s="11" t="s">
        <v>565</v>
      </c>
      <c r="M32" s="11" t="s">
        <v>545</v>
      </c>
      <c r="N32" s="11"/>
      <c r="O32" s="11"/>
      <c r="P32" s="11"/>
      <c r="Q32" s="40" t="s">
        <v>163</v>
      </c>
      <c r="U32" s="49"/>
      <c r="Y32" s="40"/>
    </row>
    <row r="33" spans="1:26">
      <c r="A33" s="33" t="s">
        <v>166</v>
      </c>
      <c r="B33" s="53" t="str">
        <f>VLOOKUP('Project documentation'!A33,'Project List 2026'!B:E,2,0)</f>
        <v>Hosting</v>
      </c>
      <c r="C33" s="41" t="str">
        <f>VLOOKUP(A33,'Project List 2026'!B:I,4,0)</f>
        <v>Hana Kodatova</v>
      </c>
      <c r="D33" s="41" t="str">
        <f>VLOOKUP(A33,'Project List 2026'!B:F,5,0)</f>
        <v>External</v>
      </c>
      <c r="E33" s="41" t="str">
        <f>VLOOKUP(A33,'Project List 2026'!B:L,11,0)</f>
        <v>DSC</v>
      </c>
      <c r="F33" s="54" t="str">
        <f>VLOOKUP(A33,'Project List 2026'!B:I,8,0)</f>
        <v>Completed</v>
      </c>
      <c r="G33" s="11" t="s">
        <v>533</v>
      </c>
      <c r="H33" s="121">
        <v>2025</v>
      </c>
      <c r="I33" s="121"/>
      <c r="J33" s="11" t="s">
        <v>533</v>
      </c>
      <c r="K33" s="11" t="s">
        <v>533</v>
      </c>
      <c r="L33" s="11" t="s">
        <v>566</v>
      </c>
      <c r="M33" s="11" t="s">
        <v>533</v>
      </c>
      <c r="N33" s="11">
        <v>2025</v>
      </c>
      <c r="O33" s="11" t="s">
        <v>533</v>
      </c>
      <c r="P33" s="11">
        <v>2025</v>
      </c>
      <c r="Q33" s="11"/>
      <c r="R33" s="11" t="s">
        <v>567</v>
      </c>
      <c r="S33" s="11"/>
      <c r="T33" s="89"/>
      <c r="U33" s="42"/>
      <c r="V33" s="40" t="s">
        <v>538</v>
      </c>
      <c r="W33" s="40"/>
      <c r="X33"/>
    </row>
    <row r="34" spans="1:26" hidden="1">
      <c r="A34" t="s">
        <v>402</v>
      </c>
      <c r="B34" s="53" t="s">
        <v>77</v>
      </c>
      <c r="C34" s="41" t="str">
        <f>VLOOKUP(A34,'Project List 2026'!B:I,4,0)</f>
        <v>Saranyah Vairavan</v>
      </c>
      <c r="D34" s="41" t="str">
        <f>VLOOKUP(A34,'Project List 2026'!B:F,5,0)</f>
        <v>External</v>
      </c>
      <c r="E34" s="41" t="str">
        <f>VLOOKUP(A34,'Project List 2026'!B:L,11,0)</f>
        <v>EXP</v>
      </c>
      <c r="F34" s="40" t="s">
        <v>306</v>
      </c>
      <c r="G34" s="138"/>
      <c r="H34" s="11"/>
      <c r="I34" s="11"/>
      <c r="K34" s="11" t="s">
        <v>533</v>
      </c>
      <c r="L34" s="11"/>
      <c r="M34" s="11"/>
      <c r="N34" s="11"/>
      <c r="O34" s="11"/>
      <c r="P34" s="11"/>
      <c r="Q34" s="40" t="s">
        <v>163</v>
      </c>
      <c r="U34" s="49"/>
      <c r="W34" s="40"/>
      <c r="X34"/>
    </row>
    <row r="35" spans="1:26">
      <c r="A35" s="33" t="s">
        <v>171</v>
      </c>
      <c r="B35" s="53" t="str">
        <f>VLOOKUP('Project documentation'!A35,'Project List 2026'!B:E,2,0)</f>
        <v>Hosting</v>
      </c>
      <c r="C35" s="41" t="str">
        <f>VLOOKUP(A35,'Project List 2026'!B:I,4,0)</f>
        <v>Hana Sinska</v>
      </c>
      <c r="D35" s="41" t="str">
        <f>VLOOKUP(A35,'Project List 2026'!B:F,5,0)</f>
        <v>Internal</v>
      </c>
      <c r="E35" s="41" t="str">
        <f>VLOOKUP(A35,'Project List 2026'!B:L,11,0)</f>
        <v>ITS</v>
      </c>
      <c r="F35" s="54" t="str">
        <f>VLOOKUP(A35,'Project List 2026'!B:I,8,0)</f>
        <v>Ongoing</v>
      </c>
      <c r="G35" s="11" t="s">
        <v>533</v>
      </c>
      <c r="H35" s="110">
        <v>46090</v>
      </c>
      <c r="I35" s="110"/>
      <c r="J35" s="11" t="s">
        <v>533</v>
      </c>
      <c r="K35" s="11" t="s">
        <v>533</v>
      </c>
      <c r="L35" s="11" t="s">
        <v>568</v>
      </c>
      <c r="M35" s="11" t="s">
        <v>533</v>
      </c>
      <c r="N35" s="11"/>
      <c r="O35" s="11"/>
      <c r="P35" s="11"/>
      <c r="Q35" s="11" t="s">
        <v>569</v>
      </c>
      <c r="R35" s="11"/>
      <c r="S35" s="11"/>
      <c r="T35" s="11"/>
      <c r="U35" s="42"/>
      <c r="V35"/>
      <c r="X35"/>
    </row>
    <row r="36" spans="1:26">
      <c r="A36" s="33" t="s">
        <v>799</v>
      </c>
      <c r="B36" s="53" t="str">
        <f>VLOOKUP('Project documentation'!A36,'Project List 2026'!B:E,2,0)</f>
        <v>Hosting</v>
      </c>
      <c r="C36" s="41" t="str">
        <f>VLOOKUP(A36,'Project List 2026'!B:I,4,0)</f>
        <v>Hana Sinska</v>
      </c>
      <c r="D36" s="41" t="str">
        <f>VLOOKUP(A36,'Project List 2026'!B:F,5,0)</f>
        <v>Internal</v>
      </c>
      <c r="E36" s="41" t="str">
        <f>VLOOKUP(A36,'Project List 2026'!B:L,11,0)</f>
        <v>ITS</v>
      </c>
      <c r="F36" s="54" t="str">
        <f>VLOOKUP(A36,'Project List 2026'!B:I,8,0)</f>
        <v>On hold</v>
      </c>
      <c r="G36" s="11" t="s">
        <v>533</v>
      </c>
      <c r="H36" s="11"/>
      <c r="I36" s="11"/>
      <c r="J36" s="11"/>
      <c r="K36" s="11" t="s">
        <v>533</v>
      </c>
      <c r="L36" s="11" t="s">
        <v>570</v>
      </c>
      <c r="M36" s="11"/>
      <c r="N36" s="11"/>
      <c r="O36" s="11"/>
      <c r="P36" s="11"/>
      <c r="Q36" s="11"/>
      <c r="R36" s="11"/>
      <c r="S36" s="11"/>
      <c r="T36" s="11"/>
      <c r="U36" s="49"/>
      <c r="V36"/>
      <c r="X36"/>
    </row>
    <row r="37" spans="1:26">
      <c r="A37" s="33" t="s">
        <v>162</v>
      </c>
      <c r="B37" s="53" t="str">
        <f>VLOOKUP('Project documentation'!A37,'Project List 2026'!B:E,2,0)</f>
        <v>Hosting</v>
      </c>
      <c r="C37" s="41" t="str">
        <f>VLOOKUP(A37,'Project List 2026'!B:I,4,0)</f>
        <v>Hana Kodatova</v>
      </c>
      <c r="D37" s="41" t="str">
        <f>VLOOKUP(A37,'Project List 2026'!B:F,5,0)</f>
        <v>Internal</v>
      </c>
      <c r="E37" s="41" t="str">
        <f>VLOOKUP(A37,'Project List 2026'!B:L,11,0)</f>
        <v>ITS</v>
      </c>
      <c r="F37" s="54" t="str">
        <f>VLOOKUP(A37,'Project List 2026'!B:I,8,0)</f>
        <v>Ongoing</v>
      </c>
      <c r="G37" s="11" t="s">
        <v>533</v>
      </c>
      <c r="H37" s="110">
        <v>46125</v>
      </c>
      <c r="I37" s="110"/>
      <c r="J37" s="11"/>
      <c r="K37" s="11" t="s">
        <v>533</v>
      </c>
      <c r="L37" s="11" t="s">
        <v>571</v>
      </c>
      <c r="M37" s="11"/>
      <c r="N37" s="11"/>
      <c r="O37" s="11"/>
      <c r="P37" s="11"/>
      <c r="Q37" s="40" t="s">
        <v>163</v>
      </c>
      <c r="R37" s="11" t="s">
        <v>572</v>
      </c>
      <c r="S37" s="11"/>
      <c r="T37" s="90"/>
      <c r="U37" s="42"/>
      <c r="W37" s="40"/>
      <c r="X37" s="43" t="s">
        <v>538</v>
      </c>
      <c r="Y37" s="40"/>
      <c r="Z37" s="40" t="s">
        <v>538</v>
      </c>
    </row>
    <row r="38" spans="1:26">
      <c r="A38" t="s">
        <v>168</v>
      </c>
      <c r="B38" s="53" t="str">
        <f>VLOOKUP('Project documentation'!A38,'Project List 2026'!B:E,2,0)</f>
        <v>Hosting</v>
      </c>
      <c r="C38" s="41" t="str">
        <f>VLOOKUP(A38,'Project List 2026'!B:I,4,0)</f>
        <v>Hana Kodatova</v>
      </c>
      <c r="D38" s="41" t="str">
        <f>VLOOKUP(A38,'Project List 2026'!B:F,5,0)</f>
        <v>Internal</v>
      </c>
      <c r="E38" s="41" t="str">
        <f>VLOOKUP(A38,'Project List 2026'!B:L,11,0)</f>
        <v>ITS</v>
      </c>
      <c r="F38" s="54" t="str">
        <f>VLOOKUP(A38,'Project List 2026'!B:I,8,0)</f>
        <v>Ongoing</v>
      </c>
      <c r="G38" s="138" t="s">
        <v>533</v>
      </c>
      <c r="H38" s="11"/>
      <c r="I38" s="11"/>
      <c r="K38" s="11"/>
      <c r="L38" s="11" t="s">
        <v>573</v>
      </c>
      <c r="M38" s="11"/>
      <c r="N38" s="11"/>
      <c r="O38" s="11"/>
      <c r="P38" s="11"/>
      <c r="Q38" s="40" t="s">
        <v>163</v>
      </c>
      <c r="R38" s="40" t="s">
        <v>574</v>
      </c>
      <c r="U38" s="49"/>
      <c r="W38" s="40"/>
      <c r="Y38" s="40" t="s">
        <v>538</v>
      </c>
    </row>
    <row r="39" spans="1:26">
      <c r="A39" s="87" t="s">
        <v>175</v>
      </c>
      <c r="B39" s="53" t="str">
        <f>VLOOKUP('Project documentation'!A37,'Project List 2026'!B:E,2,0)</f>
        <v>Hosting</v>
      </c>
      <c r="C39" s="41" t="str">
        <f>VLOOKUP(A39,'Project List 2026'!B:I,4,0)</f>
        <v>Hana Sinska</v>
      </c>
      <c r="D39" s="41" t="str">
        <f>VLOOKUP(A39,'Project List 2026'!B:F,5,0)</f>
        <v>Internal</v>
      </c>
      <c r="E39" s="41" t="str">
        <f>VLOOKUP(A39,'Project List 2026'!B:L,11,0)</f>
        <v>ITS</v>
      </c>
      <c r="F39" s="54" t="str">
        <f>VLOOKUP(A39,'Project List 2026'!B:I,8,0)</f>
        <v>Ongoing</v>
      </c>
      <c r="G39" s="138"/>
      <c r="H39" s="11"/>
      <c r="I39" s="11"/>
      <c r="K39" s="11" t="s">
        <v>533</v>
      </c>
      <c r="L39" s="11" t="s">
        <v>575</v>
      </c>
      <c r="M39" s="11"/>
      <c r="N39" s="11"/>
      <c r="O39" s="11"/>
      <c r="P39" s="11"/>
      <c r="Q39" s="40" t="s">
        <v>163</v>
      </c>
      <c r="R39" s="40" t="s">
        <v>546</v>
      </c>
      <c r="T39" s="89"/>
      <c r="U39" s="49"/>
      <c r="W39" s="40"/>
      <c r="X39" s="43" t="s">
        <v>538</v>
      </c>
      <c r="Y39" s="40"/>
    </row>
    <row r="40" spans="1:26">
      <c r="A40" s="33" t="s">
        <v>195</v>
      </c>
      <c r="B40" s="53" t="str">
        <f>VLOOKUP('Project documentation'!A40,'Project List 2026'!B:E,2,0)</f>
        <v>Hosting</v>
      </c>
      <c r="C40" s="41" t="str">
        <f>VLOOKUP(A40,'Project List 2026'!B:I,4,0)</f>
        <v>Ivan Godunov</v>
      </c>
      <c r="D40" s="41" t="str">
        <f>VLOOKUP(A40,'Project List 2026'!B:F,5,0)</f>
        <v>Internal</v>
      </c>
      <c r="E40" s="41" t="str">
        <f>VLOOKUP(A40,'Project List 2026'!B:L,11,0)</f>
        <v>ITS</v>
      </c>
      <c r="F40" s="54" t="str">
        <f>VLOOKUP(A40,'Project List 2026'!B:I,8,0)</f>
        <v>Completed</v>
      </c>
      <c r="G40" s="11" t="s">
        <v>533</v>
      </c>
      <c r="H40" s="110">
        <v>46090</v>
      </c>
      <c r="I40" s="110"/>
      <c r="J40" s="11" t="s">
        <v>533</v>
      </c>
      <c r="K40" s="11" t="s">
        <v>532</v>
      </c>
      <c r="L40" s="11" t="s">
        <v>532</v>
      </c>
      <c r="M40" s="11"/>
      <c r="N40" s="11"/>
      <c r="O40" s="11"/>
      <c r="P40" s="11"/>
      <c r="Q40" s="11"/>
      <c r="R40" s="11"/>
      <c r="S40" s="11"/>
      <c r="T40" s="11"/>
      <c r="U40" s="49"/>
      <c r="V40"/>
      <c r="X40"/>
    </row>
    <row r="41" spans="1:26">
      <c r="A41" s="87" t="s">
        <v>198</v>
      </c>
      <c r="B41" s="53" t="str">
        <f>VLOOKUP('Project documentation'!A41,'Project List 2026'!B:E,2,0)</f>
        <v>Hosting</v>
      </c>
      <c r="C41" s="41" t="str">
        <f>VLOOKUP(A41,'Project List 2026'!B:I,4,0)</f>
        <v>Ivan Godunov</v>
      </c>
      <c r="D41" s="41" t="str">
        <f>VLOOKUP(A41,'Project List 2026'!B:F,5,0)</f>
        <v>Internal</v>
      </c>
      <c r="E41" s="41" t="str">
        <f>VLOOKUP(A41,'Project List 2026'!B:L,11,0)</f>
        <v>ITS</v>
      </c>
      <c r="F41" s="54" t="str">
        <f>VLOOKUP(A41,'Project List 2026'!B:I,8,0)</f>
        <v>Ongoing</v>
      </c>
      <c r="G41" s="138"/>
      <c r="H41" s="11"/>
      <c r="I41" s="11"/>
      <c r="J41" s="40" t="s">
        <v>532</v>
      </c>
      <c r="K41" s="11" t="s">
        <v>532</v>
      </c>
      <c r="L41" s="11" t="s">
        <v>532</v>
      </c>
      <c r="M41" s="11"/>
      <c r="N41" s="11"/>
      <c r="O41" s="11"/>
      <c r="P41" s="11"/>
      <c r="U41" s="49"/>
      <c r="V41"/>
      <c r="X41"/>
    </row>
    <row r="42" spans="1:26">
      <c r="A42" s="87" t="s">
        <v>177</v>
      </c>
      <c r="B42" s="53" t="str">
        <f>VLOOKUP('Project documentation'!A38,'Project List 2026'!B:E,2,0)</f>
        <v>Hosting</v>
      </c>
      <c r="C42" s="41" t="str">
        <f>VLOOKUP(A42,'Project List 2026'!B:I,4,0)</f>
        <v>Hana Sinska</v>
      </c>
      <c r="D42" s="41" t="str">
        <f>VLOOKUP(A42,'Project List 2026'!B:F,5,0)</f>
        <v>Internal</v>
      </c>
      <c r="E42" s="41" t="str">
        <f>VLOOKUP(A42,'Project List 2026'!B:L,11,0)</f>
        <v>ITS</v>
      </c>
      <c r="F42" s="54" t="str">
        <f>VLOOKUP(A42,'Project List 2026'!B:I,8,0)</f>
        <v>Ongoing</v>
      </c>
      <c r="G42" s="138"/>
      <c r="H42" s="93"/>
      <c r="I42" s="93"/>
      <c r="K42" s="11" t="s">
        <v>533</v>
      </c>
      <c r="L42" s="11" t="s">
        <v>576</v>
      </c>
      <c r="M42" s="11"/>
      <c r="N42" s="11"/>
      <c r="O42" s="11"/>
      <c r="P42" s="11"/>
      <c r="Q42" s="40" t="s">
        <v>163</v>
      </c>
      <c r="R42" s="40" t="s">
        <v>544</v>
      </c>
      <c r="T42" s="92"/>
      <c r="U42" s="49"/>
      <c r="V42" s="40" t="s">
        <v>538</v>
      </c>
      <c r="W42" s="40"/>
      <c r="Y42" s="40" t="s">
        <v>538</v>
      </c>
    </row>
    <row r="43" spans="1:26">
      <c r="A43" s="33" t="s">
        <v>181</v>
      </c>
      <c r="B43" s="53" t="str">
        <f>VLOOKUP('Project documentation'!A39,'Project List 2026'!B:E,2,0)</f>
        <v>Hosting</v>
      </c>
      <c r="C43" s="41" t="str">
        <f>VLOOKUP(A43,'Project List 2026'!B:I,4,0)</f>
        <v>Henrieta Schotzova</v>
      </c>
      <c r="D43" s="41" t="str">
        <f>VLOOKUP(A43,'Project List 2026'!B:F,5,0)</f>
        <v>External</v>
      </c>
      <c r="E43" s="41" t="str">
        <f>VLOOKUP(A43,'Project List 2026'!B:L,11,0)</f>
        <v>EXP</v>
      </c>
      <c r="F43" s="54" t="str">
        <f>VLOOKUP(A43,'Project List 2026'!B:I,8,0)</f>
        <v>Ongoing</v>
      </c>
      <c r="G43" s="11" t="s">
        <v>533</v>
      </c>
      <c r="H43" s="11"/>
      <c r="I43" s="11"/>
      <c r="J43" s="11"/>
      <c r="K43" s="11" t="s">
        <v>533</v>
      </c>
      <c r="L43" s="11" t="s">
        <v>577</v>
      </c>
      <c r="M43" s="11"/>
      <c r="N43" s="11"/>
      <c r="O43" s="11"/>
      <c r="P43" s="11"/>
      <c r="Q43" s="40" t="s">
        <v>163</v>
      </c>
      <c r="R43" s="11" t="s">
        <v>578</v>
      </c>
      <c r="S43" s="11"/>
      <c r="T43" s="90"/>
      <c r="U43" s="42"/>
      <c r="W43" s="40"/>
      <c r="Y43" s="40"/>
    </row>
    <row r="44" spans="1:26">
      <c r="A44" s="33" t="s">
        <v>219</v>
      </c>
      <c r="B44" s="53" t="str">
        <f>VLOOKUP('Project documentation'!A44,'Project List 2026'!B:E,2,0)</f>
        <v>Hosting</v>
      </c>
      <c r="C44" s="41" t="str">
        <f>VLOOKUP(A44,'Project List 2026'!B:I,4,0)</f>
        <v>Jan Truksa</v>
      </c>
      <c r="D44" s="41" t="str">
        <f>VLOOKUP(A44,'Project List 2026'!B:F,5,0)</f>
        <v>Internal</v>
      </c>
      <c r="E44" s="41" t="str">
        <f>VLOOKUP(A44,'Project List 2026'!B:L,11,0)</f>
        <v>ITS</v>
      </c>
      <c r="F44" s="54" t="str">
        <f>VLOOKUP(A44,'Project List 2026'!B:I,8,0)</f>
        <v>On hold</v>
      </c>
      <c r="G44" s="144"/>
      <c r="H44" s="11"/>
      <c r="I44" s="11"/>
      <c r="J44" s="11"/>
      <c r="K44" s="11"/>
      <c r="L44" s="138"/>
      <c r="M44" s="11"/>
      <c r="N44" s="11"/>
      <c r="O44" s="11"/>
      <c r="P44" s="11"/>
      <c r="Q44" s="11"/>
      <c r="R44" s="11"/>
      <c r="S44" s="11"/>
      <c r="T44" s="11"/>
      <c r="U44" s="42"/>
      <c r="V44"/>
      <c r="X44"/>
    </row>
    <row r="45" spans="1:26">
      <c r="A45" t="s">
        <v>795</v>
      </c>
      <c r="B45" s="53" t="str">
        <f>VLOOKUP('Project documentation'!A42,'Project List 2026'!B:E,2,0)</f>
        <v>Hosting</v>
      </c>
      <c r="C45" s="41" t="str">
        <f>VLOOKUP(A45,'Project List 2026'!B:I,4,0)</f>
        <v>Ivan Godunov</v>
      </c>
      <c r="D45" s="41" t="str">
        <f>VLOOKUP(A45,'Project List 2026'!B:F,5,0)</f>
        <v>Internal</v>
      </c>
      <c r="E45" s="41" t="str">
        <f>VLOOKUP(A45,'Project List 2026'!B:L,11,0)</f>
        <v>ITS</v>
      </c>
      <c r="F45" s="54" t="str">
        <f>VLOOKUP(A45,'Project List 2026'!B:I,8,0)</f>
        <v>Ongoing</v>
      </c>
      <c r="G45" s="11" t="s">
        <v>533</v>
      </c>
      <c r="H45" s="110">
        <v>46167</v>
      </c>
      <c r="I45" s="110"/>
      <c r="J45" s="40" t="s">
        <v>533</v>
      </c>
      <c r="K45" s="11"/>
      <c r="L45" s="11" t="s">
        <v>579</v>
      </c>
      <c r="M45" s="11"/>
      <c r="N45" s="11"/>
      <c r="O45" s="11"/>
      <c r="P45" s="11"/>
      <c r="Q45" s="40" t="s">
        <v>163</v>
      </c>
      <c r="R45" s="40" t="s">
        <v>580</v>
      </c>
      <c r="T45" s="92"/>
      <c r="U45" s="49"/>
      <c r="V45"/>
      <c r="X45" s="43" t="s">
        <v>538</v>
      </c>
      <c r="Y45" s="40"/>
      <c r="Z45" s="40" t="s">
        <v>538</v>
      </c>
    </row>
    <row r="46" spans="1:26">
      <c r="A46" s="33" t="s">
        <v>216</v>
      </c>
      <c r="B46" s="53" t="str">
        <f>VLOOKUP('Project documentation'!A43,'Project List 2026'!B:E,2,0)</f>
        <v>Hosting</v>
      </c>
      <c r="C46" s="41" t="str">
        <f>VLOOKUP(A46,'Project List 2026'!B:I,4,0)</f>
        <v>Jan Truksa</v>
      </c>
      <c r="D46" s="41" t="str">
        <f>VLOOKUP(A46,'Project List 2026'!B:F,5,0)</f>
        <v>Internal</v>
      </c>
      <c r="E46" s="41" t="str">
        <f>VLOOKUP(A46,'Project List 2026'!B:L,11,0)</f>
        <v>ITS</v>
      </c>
      <c r="F46" s="54" t="str">
        <f>VLOOKUP(A46,'Project List 2026'!B:I,8,0)</f>
        <v>On hold</v>
      </c>
      <c r="G46" s="11" t="s">
        <v>533</v>
      </c>
      <c r="H46" s="11"/>
      <c r="I46" s="11"/>
      <c r="J46" s="11" t="s">
        <v>533</v>
      </c>
      <c r="K46" s="11" t="s">
        <v>533</v>
      </c>
      <c r="L46" s="11" t="s">
        <v>581</v>
      </c>
      <c r="M46" s="11" t="s">
        <v>23</v>
      </c>
      <c r="N46" s="11"/>
      <c r="O46" s="11"/>
      <c r="P46" s="11"/>
      <c r="Q46" s="40" t="s">
        <v>163</v>
      </c>
      <c r="R46" s="11" t="s">
        <v>582</v>
      </c>
      <c r="S46" s="11" t="s">
        <v>538</v>
      </c>
      <c r="T46" s="90"/>
      <c r="U46" s="42"/>
      <c r="V46" s="40" t="s">
        <v>538</v>
      </c>
      <c r="W46" s="40"/>
      <c r="Y46" s="40"/>
    </row>
    <row r="47" spans="1:26">
      <c r="A47" t="s">
        <v>389</v>
      </c>
      <c r="B47" s="53" t="str">
        <f>VLOOKUP('Project documentation'!A45,'Project List 2026'!B:E,2,0)</f>
        <v>Hosting</v>
      </c>
      <c r="C47" s="41" t="str">
        <f>VLOOKUP(A47,'Project List 2026'!B:I,4,0)</f>
        <v>Jan Truksa</v>
      </c>
      <c r="D47" s="41" t="str">
        <f>VLOOKUP(A47,'Project List 2026'!B:F,5,0)</f>
        <v>Internal</v>
      </c>
      <c r="E47" s="41" t="str">
        <f>VLOOKUP(A47,'Project List 2026'!B:L,11,0)</f>
        <v>ITS</v>
      </c>
      <c r="F47" s="54" t="str">
        <f>VLOOKUP(A47,'Project List 2026'!B:I,8,0)</f>
        <v>On hold</v>
      </c>
      <c r="G47" s="11" t="s">
        <v>533</v>
      </c>
      <c r="H47" s="110">
        <v>46073</v>
      </c>
      <c r="I47" s="110"/>
      <c r="J47" s="11" t="s">
        <v>533</v>
      </c>
      <c r="K47" s="11" t="s">
        <v>533</v>
      </c>
      <c r="L47" s="11" t="s">
        <v>583</v>
      </c>
      <c r="M47" s="11" t="s">
        <v>23</v>
      </c>
      <c r="N47" s="11"/>
      <c r="O47" s="11"/>
      <c r="P47" s="11"/>
      <c r="Q47" s="40" t="s">
        <v>163</v>
      </c>
      <c r="R47" s="40" t="s">
        <v>582</v>
      </c>
      <c r="T47" s="91"/>
      <c r="U47" s="42" t="s">
        <v>538</v>
      </c>
      <c r="W47" s="40" t="s">
        <v>538</v>
      </c>
      <c r="X47" s="43" t="s">
        <v>538</v>
      </c>
      <c r="Y47" s="40"/>
    </row>
    <row r="48" spans="1:26">
      <c r="A48" s="41" t="s">
        <v>245</v>
      </c>
      <c r="B48" s="53" t="str">
        <f>VLOOKUP('Project documentation'!A48,'Project List 2026'!B:E,2,0)</f>
        <v>Hosting</v>
      </c>
      <c r="C48" s="41" t="str">
        <f>VLOOKUP(A48,'Project List 2026'!B:I,4,0)</f>
        <v>Katerina Soukupova</v>
      </c>
      <c r="D48" s="41" t="str">
        <f>VLOOKUP(A48,'Project List 2026'!B:F,5,0)</f>
        <v>External</v>
      </c>
      <c r="E48" s="41" t="str">
        <f>VLOOKUP(A48,'Project List 2026'!B:L,11,0)</f>
        <v>EXP</v>
      </c>
      <c r="F48" s="54" t="str">
        <f>VLOOKUP(A48,'Project List 2026'!B:I,8,0)</f>
        <v>Ongoing</v>
      </c>
      <c r="G48" s="145" t="s">
        <v>584</v>
      </c>
      <c r="H48" s="110">
        <v>46104</v>
      </c>
      <c r="I48" s="110"/>
      <c r="J48" s="11" t="s">
        <v>532</v>
      </c>
      <c r="K48" s="11" t="s">
        <v>533</v>
      </c>
      <c r="L48" s="11" t="s">
        <v>532</v>
      </c>
      <c r="M48" s="11" t="s">
        <v>532</v>
      </c>
      <c r="N48" s="11"/>
      <c r="O48" s="11"/>
      <c r="P48" s="11"/>
      <c r="Q48" s="11"/>
      <c r="R48" s="11"/>
      <c r="S48" s="11"/>
      <c r="T48" s="11"/>
      <c r="U48" s="49"/>
      <c r="V48"/>
      <c r="X48"/>
    </row>
    <row r="49" spans="1:27">
      <c r="A49" s="33" t="s">
        <v>225</v>
      </c>
      <c r="B49" s="53" t="str">
        <f>VLOOKUP('Project documentation'!A46,'Project List 2026'!B:E,2,0)</f>
        <v>Hosting</v>
      </c>
      <c r="C49" s="41" t="str">
        <f>VLOOKUP(A49,'Project List 2026'!B:I,4,0)</f>
        <v>Jana Veberova</v>
      </c>
      <c r="D49" s="41" t="str">
        <f>VLOOKUP(A49,'Project List 2026'!B:F,5,0)</f>
        <v>External</v>
      </c>
      <c r="E49" s="41" t="str">
        <f>VLOOKUP(A49,'Project List 2026'!B:L,11,0)</f>
        <v>EXP</v>
      </c>
      <c r="F49" s="54" t="str">
        <f>VLOOKUP(A49,'Project List 2026'!B:I,8,0)</f>
        <v>Ongoing</v>
      </c>
      <c r="G49" s="11" t="s">
        <v>533</v>
      </c>
      <c r="H49" s="110">
        <v>46073</v>
      </c>
      <c r="I49" s="110"/>
      <c r="J49" s="11" t="s">
        <v>533</v>
      </c>
      <c r="K49" s="11" t="s">
        <v>533</v>
      </c>
      <c r="L49" s="11" t="s">
        <v>585</v>
      </c>
      <c r="M49" s="11" t="s">
        <v>23</v>
      </c>
      <c r="N49" s="11"/>
      <c r="O49" s="11"/>
      <c r="P49" s="11"/>
      <c r="Q49" s="40" t="s">
        <v>163</v>
      </c>
      <c r="R49" s="11" t="s">
        <v>586</v>
      </c>
      <c r="S49" s="11"/>
      <c r="T49" s="90"/>
      <c r="U49" s="42" t="s">
        <v>538</v>
      </c>
      <c r="W49" s="40" t="s">
        <v>538</v>
      </c>
      <c r="Y49" s="40" t="s">
        <v>538</v>
      </c>
    </row>
    <row r="50" spans="1:27">
      <c r="A50" s="33" t="s">
        <v>239</v>
      </c>
      <c r="B50" s="53" t="str">
        <f>VLOOKUP('Project documentation'!A47,'Project List 2026'!B:E,2,0)</f>
        <v>Hosting</v>
      </c>
      <c r="C50" s="41" t="str">
        <f>VLOOKUP(A50,'Project List 2026'!B:I,4,0)</f>
        <v>Jana Veberova</v>
      </c>
      <c r="D50" s="41" t="str">
        <f>VLOOKUP(A50,'Project List 2026'!B:F,5,0)</f>
        <v>External</v>
      </c>
      <c r="E50" s="41" t="str">
        <f>VLOOKUP(A50,'Project List 2026'!B:L,11,0)</f>
        <v>DSC</v>
      </c>
      <c r="F50" s="54" t="str">
        <f>VLOOKUP(A50,'Project List 2026'!B:I,8,0)</f>
        <v>Completed</v>
      </c>
      <c r="G50" s="11" t="s">
        <v>533</v>
      </c>
      <c r="H50" s="11"/>
      <c r="I50" s="11"/>
      <c r="J50" s="11" t="s">
        <v>533</v>
      </c>
      <c r="K50" s="11" t="s">
        <v>533</v>
      </c>
      <c r="L50" s="11" t="s">
        <v>587</v>
      </c>
      <c r="M50" s="11" t="s">
        <v>23</v>
      </c>
      <c r="N50" s="11"/>
      <c r="O50" s="11"/>
      <c r="P50" s="11"/>
      <c r="Q50" s="40" t="s">
        <v>163</v>
      </c>
      <c r="R50" s="11" t="s">
        <v>588</v>
      </c>
      <c r="S50" s="11"/>
      <c r="T50" s="89"/>
      <c r="U50" s="42"/>
      <c r="W50" s="40"/>
      <c r="Y50" s="40"/>
    </row>
    <row r="51" spans="1:27">
      <c r="A51" s="41" t="s">
        <v>796</v>
      </c>
      <c r="B51" s="53" t="str">
        <f>VLOOKUP('Project documentation'!A49,'Project List 2026'!B:E,2,0)</f>
        <v>Hosting</v>
      </c>
      <c r="C51" s="41" t="str">
        <f>VLOOKUP(A51,'Project List 2026'!B:I,4,0)</f>
        <v>Kristina Fojtkova</v>
      </c>
      <c r="D51" s="41" t="str">
        <f>VLOOKUP(A51,'Project List 2026'!B:F,5,0)</f>
        <v>Internal</v>
      </c>
      <c r="E51" s="41" t="str">
        <f>VLOOKUP(A51,'Project List 2026'!B:L,11,0)</f>
        <v>ITS</v>
      </c>
      <c r="F51" s="54" t="str">
        <f>VLOOKUP(A51,'Project List 2026'!B:I,8,0)</f>
        <v>Ongoing</v>
      </c>
      <c r="G51" s="11" t="s">
        <v>533</v>
      </c>
      <c r="H51" s="110">
        <v>46178</v>
      </c>
      <c r="I51" s="110">
        <v>46209</v>
      </c>
      <c r="J51" s="11"/>
      <c r="K51" s="11" t="s">
        <v>533</v>
      </c>
      <c r="L51" s="11" t="s">
        <v>589</v>
      </c>
      <c r="M51" s="11"/>
      <c r="N51" s="11"/>
      <c r="O51" s="11"/>
      <c r="P51" s="11"/>
      <c r="Q51" s="40" t="s">
        <v>163</v>
      </c>
      <c r="R51" s="11" t="s">
        <v>580</v>
      </c>
      <c r="S51" s="11" t="s">
        <v>538</v>
      </c>
      <c r="T51" s="92"/>
      <c r="U51" s="42"/>
      <c r="W51" s="40"/>
      <c r="Y51" s="40"/>
      <c r="Z51" s="40" t="s">
        <v>538</v>
      </c>
    </row>
    <row r="52" spans="1:27">
      <c r="A52" s="87" t="s">
        <v>259</v>
      </c>
      <c r="B52" s="53" t="str">
        <f>VLOOKUP('Project documentation'!A50,'Project List 2026'!B:E,2,0)</f>
        <v>Hosting</v>
      </c>
      <c r="C52" s="41" t="str">
        <f>VLOOKUP(A52,'Project List 2026'!B:I,4,0)</f>
        <v>Kristina Fojtkova</v>
      </c>
      <c r="D52" s="41" t="str">
        <f>VLOOKUP(A52,'Project List 2026'!B:F,5,0)</f>
        <v>External</v>
      </c>
      <c r="E52" s="41" t="str">
        <f>VLOOKUP(A52,'Project List 2026'!B:L,11,0)</f>
        <v>P&amp;P</v>
      </c>
      <c r="F52" s="54" t="str">
        <f>VLOOKUP(A52,'Project List 2026'!B:I,8,0)</f>
        <v>Completed</v>
      </c>
      <c r="G52" s="11" t="s">
        <v>532</v>
      </c>
      <c r="H52" s="11"/>
      <c r="I52" s="11"/>
      <c r="J52" s="40" t="s">
        <v>532</v>
      </c>
      <c r="K52" s="11" t="s">
        <v>533</v>
      </c>
      <c r="L52" s="138"/>
      <c r="M52" s="11" t="s">
        <v>532</v>
      </c>
      <c r="N52" s="11"/>
      <c r="O52" s="11" t="s">
        <v>532</v>
      </c>
      <c r="P52" s="11"/>
      <c r="Q52" s="40" t="s">
        <v>163</v>
      </c>
      <c r="U52" s="49"/>
      <c r="W52" s="40"/>
      <c r="Y52" s="40"/>
    </row>
    <row r="53" spans="1:27">
      <c r="A53" s="87" t="s">
        <v>229</v>
      </c>
      <c r="B53" s="53" t="str">
        <f>VLOOKUP('Project documentation'!A51,'Project List 2026'!B:E,2,0)</f>
        <v>Hosting</v>
      </c>
      <c r="C53" s="41" t="str">
        <f>VLOOKUP(A53,'Project List 2026'!B:I,4,0)</f>
        <v>Michel de Heij</v>
      </c>
      <c r="D53" s="41" t="str">
        <f>VLOOKUP(A53,'Project List 2026'!B:F,5,0)</f>
        <v>External</v>
      </c>
      <c r="E53" s="41" t="str">
        <f>VLOOKUP(A53,'Project List 2026'!B:L,11,0)</f>
        <v>DGFF</v>
      </c>
      <c r="F53" s="54" t="str">
        <f>VLOOKUP(A53,'Project List 2026'!B:I,8,0)</f>
        <v>Ongoing</v>
      </c>
      <c r="G53" s="138"/>
      <c r="H53" s="11"/>
      <c r="I53" s="11"/>
      <c r="K53" s="11"/>
      <c r="L53" s="138"/>
      <c r="M53" s="11"/>
      <c r="N53" s="11"/>
      <c r="O53" s="11"/>
      <c r="P53" s="11"/>
      <c r="Q53" s="40" t="s">
        <v>163</v>
      </c>
      <c r="R53" s="40" t="s">
        <v>544</v>
      </c>
      <c r="U53" s="49"/>
      <c r="W53" s="105"/>
      <c r="Y53" s="40"/>
    </row>
    <row r="54" spans="1:27">
      <c r="A54" s="87" t="s">
        <v>309</v>
      </c>
      <c r="B54" s="53" t="str">
        <f>VLOOKUP('Project documentation'!A54,'Project List 2026'!B:E,2,0)</f>
        <v>Hosting</v>
      </c>
      <c r="C54" s="41" t="str">
        <f>VLOOKUP(A54,'Project List 2026'!B:I,4,0)</f>
        <v>Neeraja Duddu</v>
      </c>
      <c r="D54" s="41" t="str">
        <f>VLOOKUP(A54,'Project List 2026'!B:F,5,0)</f>
        <v>Internal</v>
      </c>
      <c r="E54" s="41" t="str">
        <f>VLOOKUP(A54,'Project List 2026'!B:L,11,0)</f>
        <v>ITS</v>
      </c>
      <c r="F54" s="54" t="str">
        <f>VLOOKUP(A54,'Project List 2026'!B:I,8,0)</f>
        <v>Ongoing</v>
      </c>
      <c r="G54" s="11" t="s">
        <v>532</v>
      </c>
      <c r="H54" s="11"/>
      <c r="I54" s="11"/>
      <c r="J54" s="11" t="s">
        <v>532</v>
      </c>
      <c r="K54" s="11" t="s">
        <v>532</v>
      </c>
      <c r="L54" s="11" t="s">
        <v>532</v>
      </c>
      <c r="M54" s="11" t="s">
        <v>532</v>
      </c>
      <c r="N54" s="11"/>
      <c r="O54" s="11" t="s">
        <v>532</v>
      </c>
      <c r="P54" s="11"/>
      <c r="Q54" s="11"/>
      <c r="U54" s="49"/>
      <c r="V54"/>
      <c r="X54"/>
    </row>
    <row r="55" spans="1:27">
      <c r="A55" s="41" t="s">
        <v>344</v>
      </c>
      <c r="B55" s="53" t="str">
        <f>VLOOKUP('Project documentation'!A55,'Project List 2026'!B:E,2,0)</f>
        <v>Hosting</v>
      </c>
      <c r="C55" s="41" t="str">
        <f>VLOOKUP(A55,'Project List 2026'!B:I,4,0)</f>
        <v>Sona Rackova</v>
      </c>
      <c r="D55" s="41" t="str">
        <f>VLOOKUP(A55,'Project List 2026'!B:F,5,0)</f>
        <v>External</v>
      </c>
      <c r="E55" s="41" t="str">
        <f>VLOOKUP(A55,'Project List 2026'!B:L,11,0)</f>
        <v>DSC</v>
      </c>
      <c r="F55" s="54" t="str">
        <f>VLOOKUP(A55,'Project List 2026'!B:I,8,0)</f>
        <v>Ongoing</v>
      </c>
      <c r="G55" s="11" t="s">
        <v>532</v>
      </c>
      <c r="H55" s="11"/>
      <c r="I55" s="11"/>
      <c r="J55" s="11" t="s">
        <v>532</v>
      </c>
      <c r="K55" s="11" t="s">
        <v>532</v>
      </c>
      <c r="L55" s="11" t="s">
        <v>532</v>
      </c>
      <c r="M55" s="11" t="s">
        <v>532</v>
      </c>
      <c r="N55" s="11"/>
      <c r="O55" s="11" t="s">
        <v>532</v>
      </c>
      <c r="P55" s="11"/>
      <c r="Q55" s="11"/>
      <c r="R55" s="11"/>
      <c r="S55" s="11"/>
      <c r="T55" s="11"/>
      <c r="U55" s="49"/>
      <c r="V55"/>
      <c r="X55"/>
    </row>
    <row r="56" spans="1:27">
      <c r="A56" s="41" t="s">
        <v>797</v>
      </c>
      <c r="B56" s="53" t="str">
        <f>VLOOKUP('Project documentation'!A52,'Project List 2026'!B:E,2,0)</f>
        <v>Hosting</v>
      </c>
      <c r="C56" s="41" t="str">
        <f>VLOOKUP(A56,'Project List 2026'!B:I,4,0)</f>
        <v>Neeraja Duddu</v>
      </c>
      <c r="D56" s="41" t="str">
        <f>VLOOKUP(A56,'Project List 2026'!B:F,5,0)</f>
        <v>Internal</v>
      </c>
      <c r="E56" s="41" t="str">
        <f>VLOOKUP(A56,'Project List 2026'!B:L,11,0)</f>
        <v>ITS</v>
      </c>
      <c r="F56" s="54" t="str">
        <f>VLOOKUP(A56,'Project List 2026'!B:I,8,0)</f>
        <v>Completed</v>
      </c>
      <c r="G56" s="11" t="s">
        <v>533</v>
      </c>
      <c r="H56" s="11">
        <v>2025</v>
      </c>
      <c r="I56" s="11"/>
      <c r="J56" s="11" t="s">
        <v>533</v>
      </c>
      <c r="K56" s="11" t="s">
        <v>533</v>
      </c>
      <c r="L56" s="11" t="s">
        <v>590</v>
      </c>
      <c r="M56" s="11" t="s">
        <v>23</v>
      </c>
      <c r="N56" s="11"/>
      <c r="O56" s="11"/>
      <c r="P56" s="11"/>
      <c r="Q56" s="40" t="s">
        <v>163</v>
      </c>
      <c r="R56" s="11" t="s">
        <v>580</v>
      </c>
      <c r="S56" s="11"/>
      <c r="T56" s="89"/>
      <c r="U56" s="42"/>
      <c r="V56" s="40" t="s">
        <v>538</v>
      </c>
      <c r="W56" s="40"/>
      <c r="Y56" s="40"/>
    </row>
    <row r="57" spans="1:27">
      <c r="A57" t="s">
        <v>358</v>
      </c>
      <c r="B57" s="53" t="str">
        <f>VLOOKUP('Project documentation'!A57,'Project List 2026'!B:E,2,0)</f>
        <v>Hosting</v>
      </c>
      <c r="C57" s="41" t="str">
        <f>VLOOKUP(A57,'Project List 2026'!B:I,4,0)</f>
        <v>Sona Rackova</v>
      </c>
      <c r="D57" s="41" t="str">
        <f>VLOOKUP(A57,'Project List 2026'!B:F,5,0)</f>
        <v>External</v>
      </c>
      <c r="E57" s="41" t="str">
        <f>VLOOKUP(A57,'Project List 2026'!B:L,11,0)</f>
        <v>DSC</v>
      </c>
      <c r="F57" s="54" t="str">
        <f>VLOOKUP(A57,'Project List 2026'!B:I,8,0)</f>
        <v>Ongoing</v>
      </c>
      <c r="G57" s="11" t="s">
        <v>532</v>
      </c>
      <c r="H57" s="11"/>
      <c r="I57" s="11"/>
      <c r="J57" s="11" t="s">
        <v>532</v>
      </c>
      <c r="K57" s="11" t="s">
        <v>533</v>
      </c>
      <c r="L57" s="11" t="s">
        <v>532</v>
      </c>
      <c r="M57" s="11" t="s">
        <v>532</v>
      </c>
      <c r="N57" s="11"/>
      <c r="O57" s="11" t="s">
        <v>532</v>
      </c>
      <c r="P57" s="11"/>
      <c r="U57" s="49"/>
      <c r="V57"/>
      <c r="X57"/>
    </row>
    <row r="58" spans="1:27">
      <c r="A58" t="s">
        <v>355</v>
      </c>
      <c r="B58" s="53" t="str">
        <f>VLOOKUP('Project documentation'!A58,'Project List 2026'!B:E,2,0)</f>
        <v>Hosting</v>
      </c>
      <c r="C58" s="41" t="str">
        <f>VLOOKUP(A58,'Project List 2026'!B:I,4,0)</f>
        <v>Sona Rackova</v>
      </c>
      <c r="D58" s="41" t="str">
        <f>VLOOKUP(A58,'Project List 2026'!B:F,5,0)</f>
        <v>External</v>
      </c>
      <c r="E58" s="41" t="str">
        <f>VLOOKUP(A58,'Project List 2026'!B:L,11,0)</f>
        <v>DeC</v>
      </c>
      <c r="F58" s="54" t="str">
        <f>VLOOKUP(A58,'Project List 2026'!B:I,8,0)</f>
        <v>Completed</v>
      </c>
      <c r="G58" s="11" t="s">
        <v>532</v>
      </c>
      <c r="H58" s="11"/>
      <c r="I58" s="11"/>
      <c r="J58" s="11" t="s">
        <v>532</v>
      </c>
      <c r="K58" s="11" t="s">
        <v>532</v>
      </c>
      <c r="L58" s="11" t="s">
        <v>532</v>
      </c>
      <c r="M58" s="11" t="s">
        <v>532</v>
      </c>
      <c r="N58" s="11"/>
      <c r="O58" s="11" t="s">
        <v>532</v>
      </c>
      <c r="P58" s="11"/>
      <c r="U58" s="49"/>
      <c r="V58"/>
      <c r="X58"/>
    </row>
    <row r="59" spans="1:27">
      <c r="A59" s="33" t="s">
        <v>305</v>
      </c>
      <c r="B59" s="53" t="str">
        <f>VLOOKUP('Project documentation'!A53,'Project List 2026'!B:E,2,0)</f>
        <v>Hosting</v>
      </c>
      <c r="C59" s="41" t="str">
        <f>VLOOKUP(A59,'Project List 2026'!B:I,4,0)</f>
        <v>Neeraja Duddu</v>
      </c>
      <c r="D59" s="41" t="str">
        <f>VLOOKUP(A59,'Project List 2026'!B:F,5,0)</f>
        <v>Internal</v>
      </c>
      <c r="E59" s="41" t="str">
        <f>VLOOKUP(A59,'Project List 2026'!B:L,11,0)</f>
        <v>ITS</v>
      </c>
      <c r="F59" s="54" t="str">
        <f>VLOOKUP(A59,'Project List 2026'!B:I,8,0)</f>
        <v>Initiation</v>
      </c>
      <c r="G59" s="138"/>
      <c r="H59" s="11"/>
      <c r="I59" s="11"/>
      <c r="J59" s="11"/>
      <c r="K59" s="11"/>
      <c r="L59" s="138"/>
      <c r="M59" s="11"/>
      <c r="N59" s="11"/>
      <c r="O59" s="11"/>
      <c r="P59" s="11"/>
      <c r="Q59" s="40" t="s">
        <v>163</v>
      </c>
      <c r="R59" s="11" t="s">
        <v>580</v>
      </c>
      <c r="S59" s="11"/>
      <c r="T59" s="11"/>
      <c r="U59" s="42"/>
      <c r="W59" s="40"/>
      <c r="Y59" s="40"/>
    </row>
    <row r="60" spans="1:27">
      <c r="A60" s="33" t="s">
        <v>383</v>
      </c>
      <c r="B60" s="53" t="str">
        <f>VLOOKUP('Project documentation'!A60,'Project List 2026'!B:E,2,0)</f>
        <v>Hosting</v>
      </c>
      <c r="C60" s="41" t="str">
        <f>VLOOKUP(A60,'Project List 2026'!B:I,4,0)</f>
        <v>Zlata Benesova</v>
      </c>
      <c r="D60" s="41" t="str">
        <f>VLOOKUP(A60,'Project List 2026'!B:F,5,0)</f>
        <v>Internal</v>
      </c>
      <c r="E60" s="41" t="str">
        <f>VLOOKUP(A60,'Project List 2026'!B:L,11,0)</f>
        <v>ITS</v>
      </c>
      <c r="F60" s="54" t="str">
        <f>VLOOKUP(A60,'Project List 2026'!B:I,8,0)</f>
        <v>Cancelled</v>
      </c>
      <c r="G60" s="11" t="s">
        <v>533</v>
      </c>
      <c r="H60" s="110">
        <v>46073</v>
      </c>
      <c r="I60" s="11"/>
      <c r="J60" s="11" t="s">
        <v>533</v>
      </c>
      <c r="K60" s="11" t="s">
        <v>533</v>
      </c>
      <c r="L60" s="11" t="s">
        <v>533</v>
      </c>
      <c r="M60" s="11" t="s">
        <v>533</v>
      </c>
      <c r="N60" s="11"/>
      <c r="O60" s="11"/>
      <c r="P60" s="11"/>
      <c r="Q60" s="11"/>
      <c r="R60" s="11"/>
      <c r="S60" s="11"/>
      <c r="T60" s="11"/>
      <c r="U60" s="49"/>
      <c r="V60"/>
      <c r="X60"/>
    </row>
    <row r="61" spans="1:27" hidden="1">
      <c r="A61" s="87" t="s">
        <v>17</v>
      </c>
      <c r="B61" s="53" t="str">
        <f>VLOOKUP('Project documentation'!A61,'Project List 2026'!B:E,2,0)</f>
        <v>Telecoms</v>
      </c>
      <c r="C61" s="41" t="str">
        <f>VLOOKUP(A61,'Project List 2026'!B:I,4,0)</f>
        <v>Alina Nosulych</v>
      </c>
      <c r="D61" s="41" t="str">
        <f>VLOOKUP(A61,'Project List 2026'!B:F,5,0)</f>
        <v>Internal</v>
      </c>
      <c r="E61" s="41" t="str">
        <f>VLOOKUP(A61,'Project List 2026'!B:L,11,0)</f>
        <v>ITS</v>
      </c>
      <c r="F61" s="54" t="str">
        <f>VLOOKUP(A61,'Project List 2026'!B:I,8,0)</f>
        <v>Ongoing</v>
      </c>
      <c r="G61" s="11" t="s">
        <v>532</v>
      </c>
      <c r="H61" s="11"/>
      <c r="I61" s="11"/>
      <c r="J61" s="11" t="s">
        <v>532</v>
      </c>
      <c r="K61" s="11" t="s">
        <v>532</v>
      </c>
      <c r="L61" s="11" t="s">
        <v>532</v>
      </c>
      <c r="M61" s="11" t="s">
        <v>532</v>
      </c>
      <c r="N61" s="11"/>
      <c r="O61" s="11" t="s">
        <v>532</v>
      </c>
      <c r="P61" s="11"/>
      <c r="Q61" s="11"/>
      <c r="R61" s="11"/>
      <c r="S61" s="11"/>
      <c r="T61" s="11"/>
      <c r="U61" s="49"/>
      <c r="V61"/>
      <c r="X61"/>
      <c r="AA61" t="s">
        <v>591</v>
      </c>
    </row>
    <row r="62" spans="1:27" hidden="1">
      <c r="A62" s="41" t="s">
        <v>27</v>
      </c>
      <c r="B62" s="53" t="str">
        <f>VLOOKUP('Project documentation'!A62,'Project List 2026'!B:E,2,0)</f>
        <v>Telecoms</v>
      </c>
      <c r="C62" s="41" t="str">
        <f>VLOOKUP(A62,'Project List 2026'!B:I,4,0)</f>
        <v>Alina Nosulych</v>
      </c>
      <c r="D62" s="41" t="str">
        <f>VLOOKUP(A62,'Project List 2026'!B:F,5,0)</f>
        <v>Internal</v>
      </c>
      <c r="E62" s="41" t="str">
        <f>VLOOKUP(A62,'Project List 2026'!B:L,11,0)</f>
        <v>ITS</v>
      </c>
      <c r="F62" s="54" t="str">
        <f>VLOOKUP(A62,'Project List 2026'!B:I,8,0)</f>
        <v>Ongoing</v>
      </c>
      <c r="G62" s="11" t="s">
        <v>533</v>
      </c>
      <c r="H62" s="110">
        <v>46184</v>
      </c>
      <c r="I62" s="110"/>
      <c r="J62" s="11" t="s">
        <v>533</v>
      </c>
      <c r="K62" s="11" t="s">
        <v>533</v>
      </c>
      <c r="L62" s="11" t="s">
        <v>592</v>
      </c>
      <c r="M62" s="11" t="s">
        <v>545</v>
      </c>
      <c r="N62" s="11"/>
      <c r="O62" s="11" t="s">
        <v>545</v>
      </c>
      <c r="P62" s="11"/>
      <c r="Q62" s="11" t="s">
        <v>18</v>
      </c>
      <c r="R62" s="11" t="s">
        <v>593</v>
      </c>
      <c r="S62" s="11"/>
      <c r="T62" s="89"/>
      <c r="U62" s="49"/>
      <c r="V62"/>
      <c r="X62"/>
    </row>
    <row r="63" spans="1:27" hidden="1">
      <c r="A63" s="41" t="s">
        <v>34</v>
      </c>
      <c r="B63" s="53" t="str">
        <f>VLOOKUP('Project documentation'!A63,'Project List 2026'!B:E,2,0)</f>
        <v>Telecoms</v>
      </c>
      <c r="C63" s="41" t="str">
        <f>VLOOKUP(A63,'Project List 2026'!B:I,4,0)</f>
        <v>Alina Nosulych</v>
      </c>
      <c r="D63" s="41" t="str">
        <f>VLOOKUP(A63,'Project List 2026'!B:F,5,0)</f>
        <v>Internal</v>
      </c>
      <c r="E63" s="41" t="str">
        <f>VLOOKUP(A63,'Project List 2026'!B:L,11,0)</f>
        <v>Multiple</v>
      </c>
      <c r="F63" s="54" t="str">
        <f>VLOOKUP(A63,'Project List 2026'!B:I,8,0)</f>
        <v>Completed</v>
      </c>
      <c r="G63" s="11" t="s">
        <v>533</v>
      </c>
      <c r="H63" s="110">
        <v>46184</v>
      </c>
      <c r="I63" s="110"/>
      <c r="J63" s="11" t="s">
        <v>533</v>
      </c>
      <c r="K63" s="11" t="s">
        <v>532</v>
      </c>
      <c r="L63" s="11" t="s">
        <v>594</v>
      </c>
      <c r="M63" s="11" t="s">
        <v>545</v>
      </c>
      <c r="N63" s="11"/>
      <c r="O63" s="11" t="s">
        <v>545</v>
      </c>
      <c r="P63" s="11"/>
      <c r="Q63" s="11" t="s">
        <v>18</v>
      </c>
      <c r="R63" s="11" t="s">
        <v>595</v>
      </c>
      <c r="S63" s="11"/>
      <c r="T63" s="89"/>
      <c r="U63" s="49"/>
      <c r="V63"/>
      <c r="X63"/>
    </row>
    <row r="64" spans="1:27" hidden="1">
      <c r="A64" s="87" t="s">
        <v>38</v>
      </c>
      <c r="B64" s="53" t="str">
        <f>VLOOKUP('Project documentation'!A64,'Project List 2026'!B:E,2,0)</f>
        <v>Telecoms</v>
      </c>
      <c r="C64" s="41" t="str">
        <f>VLOOKUP(A64,'Project List 2026'!B:I,4,0)</f>
        <v>Alina Nosulych</v>
      </c>
      <c r="D64" s="41" t="str">
        <f>VLOOKUP(A64,'Project List 2026'!B:F,5,0)</f>
        <v>Internal</v>
      </c>
      <c r="E64" s="41" t="str">
        <f>VLOOKUP(A64,'Project List 2026'!B:L,11,0)</f>
        <v>EXP</v>
      </c>
      <c r="F64" s="54" t="str">
        <f>VLOOKUP(A64,'Project List 2026'!B:I,8,0)</f>
        <v>Ongoing</v>
      </c>
      <c r="G64" s="11" t="s">
        <v>532</v>
      </c>
      <c r="H64" s="11"/>
      <c r="I64" s="11"/>
      <c r="J64" s="40" t="s">
        <v>532</v>
      </c>
      <c r="K64" s="11" t="s">
        <v>532</v>
      </c>
      <c r="L64" s="11" t="s">
        <v>532</v>
      </c>
      <c r="M64" s="11" t="s">
        <v>532</v>
      </c>
      <c r="N64" s="11"/>
      <c r="O64" s="11" t="s">
        <v>532</v>
      </c>
      <c r="P64" s="11"/>
      <c r="U64" s="49"/>
      <c r="V64"/>
      <c r="X64"/>
      <c r="AA64" t="s">
        <v>591</v>
      </c>
    </row>
    <row r="65" spans="1:27" hidden="1">
      <c r="A65" s="87" t="s">
        <v>42</v>
      </c>
      <c r="B65" s="53" t="str">
        <f>VLOOKUP('Project documentation'!A65,'Project List 2026'!B:E,2,0)</f>
        <v>Telecoms</v>
      </c>
      <c r="C65" s="41" t="str">
        <f>VLOOKUP(A65,'Project List 2026'!B:I,4,0)</f>
        <v>Andrea Stratilova</v>
      </c>
      <c r="D65" s="41" t="str">
        <f>VLOOKUP(A65,'Project List 2026'!B:F,5,0)</f>
        <v>Internal</v>
      </c>
      <c r="E65" s="41" t="str">
        <f>VLOOKUP(A65,'Project List 2026'!B:L,11,0)</f>
        <v>Multiple</v>
      </c>
      <c r="F65" s="54" t="str">
        <f>VLOOKUP(A65,'Project List 2026'!B:I,8,0)</f>
        <v>Ongoing</v>
      </c>
      <c r="G65" s="11" t="s">
        <v>533</v>
      </c>
      <c r="H65" s="133">
        <v>46178</v>
      </c>
      <c r="I65" s="133"/>
      <c r="J65" s="11" t="s">
        <v>533</v>
      </c>
      <c r="K65" s="11"/>
      <c r="L65" s="11" t="s">
        <v>596</v>
      </c>
      <c r="M65" s="11" t="s">
        <v>545</v>
      </c>
      <c r="N65" s="11"/>
      <c r="O65" s="11" t="s">
        <v>545</v>
      </c>
      <c r="P65" s="11"/>
      <c r="Q65" s="11" t="s">
        <v>18</v>
      </c>
      <c r="R65" s="11" t="s">
        <v>597</v>
      </c>
      <c r="S65" s="11"/>
      <c r="T65" s="90"/>
      <c r="U65" s="49"/>
      <c r="V65"/>
      <c r="X65"/>
    </row>
    <row r="66" spans="1:27" hidden="1">
      <c r="A66" s="33" t="s">
        <v>44</v>
      </c>
      <c r="B66" s="53" t="str">
        <f>VLOOKUP('Project documentation'!A66,'Project List 2026'!B:E,2,0)</f>
        <v>Telecoms</v>
      </c>
      <c r="C66" s="41" t="str">
        <f>VLOOKUP(A66,'Project List 2026'!B:I,4,0)</f>
        <v>Andrea Stratilova</v>
      </c>
      <c r="D66" s="41" t="str">
        <f>VLOOKUP(A66,'Project List 2026'!B:F,5,0)</f>
        <v>Internal</v>
      </c>
      <c r="E66" s="41" t="str">
        <f>VLOOKUP(A66,'Project List 2026'!B:L,11,0)</f>
        <v>ITS</v>
      </c>
      <c r="F66" s="54" t="str">
        <f>VLOOKUP(A66,'Project List 2026'!B:I,8,0)</f>
        <v>Ongoing</v>
      </c>
      <c r="G66" s="11" t="s">
        <v>532</v>
      </c>
      <c r="H66" s="11"/>
      <c r="I66" s="11"/>
      <c r="J66" s="11" t="s">
        <v>532</v>
      </c>
      <c r="K66" s="11" t="s">
        <v>532</v>
      </c>
      <c r="L66" s="11" t="s">
        <v>532</v>
      </c>
      <c r="M66" s="11" t="s">
        <v>532</v>
      </c>
      <c r="N66" s="11"/>
      <c r="O66" s="11" t="s">
        <v>532</v>
      </c>
      <c r="P66" s="11"/>
      <c r="Q66" s="11"/>
      <c r="R66" s="11"/>
      <c r="S66" s="11"/>
      <c r="T66" s="11"/>
      <c r="U66" s="49"/>
      <c r="V66"/>
      <c r="X66"/>
      <c r="AA66" t="s">
        <v>591</v>
      </c>
    </row>
    <row r="67" spans="1:27" hidden="1">
      <c r="A67" s="87" t="s">
        <v>47</v>
      </c>
      <c r="B67" s="53" t="str">
        <f>VLOOKUP('Project documentation'!A67,'Project List 2026'!B:E,2,0)</f>
        <v>Telecoms</v>
      </c>
      <c r="C67" s="41" t="str">
        <f>VLOOKUP(A67,'Project List 2026'!B:I,4,0)</f>
        <v>Andrea Stratilova</v>
      </c>
      <c r="D67" s="41" t="str">
        <f>VLOOKUP(A67,'Project List 2026'!B:F,5,0)</f>
        <v>Internal</v>
      </c>
      <c r="E67" s="41" t="str">
        <f>VLOOKUP(A67,'Project List 2026'!B:L,11,0)</f>
        <v>Multiple</v>
      </c>
      <c r="F67" s="54" t="str">
        <f>VLOOKUP(A67,'Project List 2026'!B:I,8,0)</f>
        <v>Ongoing</v>
      </c>
      <c r="G67" s="11" t="s">
        <v>532</v>
      </c>
      <c r="H67" s="11"/>
      <c r="I67" s="11"/>
      <c r="J67" s="11" t="s">
        <v>532</v>
      </c>
      <c r="K67" s="11" t="s">
        <v>532</v>
      </c>
      <c r="L67" s="11" t="s">
        <v>532</v>
      </c>
      <c r="M67" s="11" t="s">
        <v>532</v>
      </c>
      <c r="N67" s="11"/>
      <c r="O67" s="11" t="s">
        <v>532</v>
      </c>
      <c r="P67" s="11"/>
      <c r="U67" s="49"/>
      <c r="V67"/>
      <c r="X67"/>
      <c r="AA67" t="s">
        <v>598</v>
      </c>
    </row>
    <row r="68" spans="1:27" hidden="1">
      <c r="A68" s="41" t="s">
        <v>154</v>
      </c>
      <c r="B68" s="53" t="str">
        <f>VLOOKUP('Project documentation'!A68,'Project List 2026'!B:E,2,0)</f>
        <v>Telecoms</v>
      </c>
      <c r="C68" s="41" t="str">
        <f>VLOOKUP(A68,'Project List 2026'!B:I,4,0)</f>
        <v>Dilyara Zeletdinova</v>
      </c>
      <c r="D68" s="41" t="str">
        <f>VLOOKUP(A68,'Project List 2026'!B:F,5,0)</f>
        <v>Internal</v>
      </c>
      <c r="E68" s="41" t="str">
        <f>VLOOKUP(A68,'Project List 2026'!B:L,11,0)</f>
        <v>Multiple</v>
      </c>
      <c r="F68" s="54" t="str">
        <f>VLOOKUP(A68,'Project List 2026'!B:I,8,0)</f>
        <v>Ongoing</v>
      </c>
      <c r="G68" s="11" t="s">
        <v>533</v>
      </c>
      <c r="H68" s="110">
        <v>46181</v>
      </c>
      <c r="I68" s="110">
        <v>46209</v>
      </c>
      <c r="J68" s="11" t="s">
        <v>545</v>
      </c>
      <c r="K68" s="11" t="s">
        <v>533</v>
      </c>
      <c r="L68" s="11" t="s">
        <v>599</v>
      </c>
      <c r="M68" s="11" t="s">
        <v>545</v>
      </c>
      <c r="N68" s="11"/>
      <c r="O68" s="11" t="s">
        <v>545</v>
      </c>
      <c r="P68" s="11"/>
      <c r="Q68" s="11" t="s">
        <v>18</v>
      </c>
      <c r="R68" s="11" t="s">
        <v>597</v>
      </c>
      <c r="S68" s="11" t="s">
        <v>538</v>
      </c>
      <c r="T68" s="89"/>
      <c r="U68" s="49"/>
      <c r="V68"/>
      <c r="X68"/>
    </row>
    <row r="69" spans="1:27" hidden="1">
      <c r="A69" s="41" t="s">
        <v>156</v>
      </c>
      <c r="B69" s="53" t="str">
        <f>VLOOKUP('Project documentation'!A69,'Project List 2026'!B:E,2,0)</f>
        <v>Telecoms</v>
      </c>
      <c r="C69" s="41" t="str">
        <f>VLOOKUP(A69,'Project List 2026'!B:I,4,0)</f>
        <v>Dilyara Zeletdinova</v>
      </c>
      <c r="D69" s="41" t="str">
        <f>VLOOKUP(A69,'Project List 2026'!B:F,5,0)</f>
        <v>Internal</v>
      </c>
      <c r="E69" s="41" t="str">
        <f>VLOOKUP(A69,'Project List 2026'!B:L,11,0)</f>
        <v>ITS</v>
      </c>
      <c r="F69" s="54" t="s">
        <v>157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 t="s">
        <v>18</v>
      </c>
      <c r="R69" s="11"/>
      <c r="S69" s="11"/>
      <c r="T69" s="11"/>
      <c r="U69" s="49"/>
      <c r="V69"/>
      <c r="X69"/>
      <c r="AA69" s="135" t="s">
        <v>600</v>
      </c>
    </row>
    <row r="70" spans="1:27" hidden="1">
      <c r="A70" s="41" t="s">
        <v>160</v>
      </c>
      <c r="B70" s="53" t="str">
        <f>VLOOKUP('Project documentation'!A70,'Project List 2026'!B:E,2,0)</f>
        <v>Telecoms</v>
      </c>
      <c r="C70" s="41" t="str">
        <f>VLOOKUP(A70,'Project List 2026'!B:I,4,0)</f>
        <v>Dilyara Zeletdinova</v>
      </c>
      <c r="D70" s="41" t="str">
        <f>VLOOKUP(A70,'Project List 2026'!B:F,5,0)</f>
        <v>Internal</v>
      </c>
      <c r="E70" s="41" t="str">
        <f>VLOOKUP(A70,'Project List 2026'!B:L,11,0)</f>
        <v>ITS</v>
      </c>
      <c r="F70" s="54" t="s">
        <v>23</v>
      </c>
      <c r="G70" s="11" t="s">
        <v>533</v>
      </c>
      <c r="H70" s="110">
        <v>46184</v>
      </c>
      <c r="I70" s="110"/>
      <c r="J70" s="11" t="s">
        <v>545</v>
      </c>
      <c r="K70" s="11"/>
      <c r="L70" s="11" t="s">
        <v>601</v>
      </c>
      <c r="M70" s="11" t="s">
        <v>533</v>
      </c>
      <c r="N70" s="11"/>
      <c r="O70" s="11" t="s">
        <v>545</v>
      </c>
      <c r="P70" s="11"/>
      <c r="Q70" s="11" t="s">
        <v>18</v>
      </c>
      <c r="R70" s="11" t="s">
        <v>602</v>
      </c>
      <c r="S70" s="11"/>
      <c r="T70" s="90"/>
      <c r="U70" s="49"/>
      <c r="V70"/>
      <c r="X70"/>
    </row>
    <row r="71" spans="1:27" hidden="1">
      <c r="A71" s="33" t="s">
        <v>200</v>
      </c>
      <c r="B71" s="53" t="str">
        <f>VLOOKUP('Project documentation'!A71,'Project List 2026'!B:E,2,0)</f>
        <v>Telecoms</v>
      </c>
      <c r="C71" s="41" t="str">
        <f>VLOOKUP(A71,'Project List 2026'!B:I,4,0)</f>
        <v>Jan Cesnek</v>
      </c>
      <c r="D71" s="41" t="str">
        <f>VLOOKUP(A71,'Project List 2026'!B:F,5,0)</f>
        <v>External</v>
      </c>
      <c r="E71" s="41" t="str">
        <f>VLOOKUP(A71,'Project List 2026'!B:L,11,0)</f>
        <v>EXP</v>
      </c>
      <c r="F71" s="54" t="str">
        <f>VLOOKUP(A71,'Project List 2026'!B:I,8,0)</f>
        <v>Completed</v>
      </c>
      <c r="G71" s="11"/>
      <c r="H71" s="11"/>
      <c r="I71" s="11"/>
      <c r="J71" s="11"/>
      <c r="K71" s="11" t="s">
        <v>533</v>
      </c>
      <c r="L71" s="11"/>
      <c r="M71" s="11"/>
      <c r="N71" s="11"/>
      <c r="O71" s="11"/>
      <c r="P71" s="11"/>
      <c r="Q71" s="11"/>
      <c r="R71" s="11"/>
      <c r="S71" s="11"/>
      <c r="T71" s="11"/>
      <c r="U71" s="49"/>
      <c r="V71"/>
      <c r="X71"/>
    </row>
    <row r="72" spans="1:27" hidden="1">
      <c r="A72" s="33" t="s">
        <v>203</v>
      </c>
      <c r="B72" s="53" t="str">
        <f>VLOOKUP('Project documentation'!A72,'Project List 2026'!B:E,2,0)</f>
        <v>Telecoms</v>
      </c>
      <c r="C72" s="41" t="str">
        <f>VLOOKUP(A72,'Project List 2026'!B:I,4,0)</f>
        <v>Jan Cesnek</v>
      </c>
      <c r="D72" s="41" t="str">
        <f>VLOOKUP(A72,'Project List 2026'!B:F,5,0)</f>
        <v>External</v>
      </c>
      <c r="E72" s="41" t="str">
        <f>VLOOKUP(A72,'Project List 2026'!B:L,11,0)</f>
        <v>Multiple</v>
      </c>
      <c r="F72" s="54" t="str">
        <f>VLOOKUP(A72,'Project List 2026'!B:I,8,0)</f>
        <v>Ongoing</v>
      </c>
      <c r="G72" s="11" t="s">
        <v>532</v>
      </c>
      <c r="H72" s="11"/>
      <c r="I72" s="11"/>
      <c r="J72" s="11" t="s">
        <v>532</v>
      </c>
      <c r="K72" s="11" t="s">
        <v>533</v>
      </c>
      <c r="L72" s="11" t="s">
        <v>603</v>
      </c>
      <c r="M72" s="11" t="s">
        <v>532</v>
      </c>
      <c r="N72" s="11"/>
      <c r="O72" s="11" t="s">
        <v>532</v>
      </c>
      <c r="P72" s="11"/>
      <c r="Q72" s="11" t="s">
        <v>18</v>
      </c>
      <c r="R72" s="11"/>
      <c r="S72" s="11"/>
      <c r="T72" s="90"/>
      <c r="U72" s="49"/>
      <c r="V72"/>
      <c r="X72"/>
      <c r="AA72" t="s">
        <v>604</v>
      </c>
    </row>
    <row r="73" spans="1:27" hidden="1">
      <c r="A73" s="87" t="s">
        <v>204</v>
      </c>
      <c r="B73" s="53" t="str">
        <f>VLOOKUP('Project documentation'!A73,'Project List 2026'!B:E,2,0)</f>
        <v>Telecoms</v>
      </c>
      <c r="C73" s="41" t="str">
        <f>VLOOKUP(A73,'Project List 2026'!B:I,4,0)</f>
        <v>Jan Cesnek</v>
      </c>
      <c r="D73" s="41" t="str">
        <f>VLOOKUP(A73,'Project List 2026'!B:F,5,0)</f>
        <v>External</v>
      </c>
      <c r="E73" s="41" t="str">
        <f>VLOOKUP(A73,'Project List 2026'!B:L,11,0)</f>
        <v>DSC</v>
      </c>
      <c r="F73" s="54" t="str">
        <f>VLOOKUP(A73,'Project List 2026'!B:I,8,0)</f>
        <v>Ongoing</v>
      </c>
      <c r="G73" s="11" t="s">
        <v>532</v>
      </c>
      <c r="H73" s="11"/>
      <c r="I73" s="11"/>
      <c r="J73" s="40" t="s">
        <v>532</v>
      </c>
      <c r="K73" s="11" t="s">
        <v>532</v>
      </c>
      <c r="L73" s="11" t="s">
        <v>605</v>
      </c>
      <c r="M73" s="11" t="s">
        <v>532</v>
      </c>
      <c r="N73" s="11"/>
      <c r="O73" s="11" t="s">
        <v>532</v>
      </c>
      <c r="P73" s="11"/>
      <c r="U73" s="49"/>
      <c r="V73"/>
      <c r="X73"/>
      <c r="AA73" t="s">
        <v>606</v>
      </c>
    </row>
    <row r="74" spans="1:27" hidden="1">
      <c r="A74" s="41" t="s">
        <v>207</v>
      </c>
      <c r="B74" s="53" t="str">
        <f>VLOOKUP('Project documentation'!A74,'Project List 2026'!B:E,2,0)</f>
        <v>Telecoms</v>
      </c>
      <c r="C74" s="41" t="str">
        <f>VLOOKUP(A74,'Project List 2026'!B:I,4,0)</f>
        <v>Jan Ondrak</v>
      </c>
      <c r="D74" s="41" t="str">
        <f>VLOOKUP(A74,'Project List 2026'!B:F,5,0)</f>
        <v>Internal</v>
      </c>
      <c r="E74" s="41" t="str">
        <f>VLOOKUP(A74,'Project List 2026'!B:L,11,0)</f>
        <v>ITS</v>
      </c>
      <c r="F74" s="54" t="str">
        <f>VLOOKUP(A74,'Project List 2026'!B:I,8,0)</f>
        <v>Ongoing</v>
      </c>
      <c r="G74" s="11" t="s">
        <v>532</v>
      </c>
      <c r="H74" s="11"/>
      <c r="I74" s="11"/>
      <c r="J74" s="11" t="s">
        <v>532</v>
      </c>
      <c r="K74" s="11" t="s">
        <v>532</v>
      </c>
      <c r="L74" s="11" t="s">
        <v>607</v>
      </c>
      <c r="M74" s="11" t="s">
        <v>532</v>
      </c>
      <c r="N74" s="11"/>
      <c r="O74" s="11" t="s">
        <v>532</v>
      </c>
      <c r="P74" s="11"/>
      <c r="Q74" s="11" t="s">
        <v>18</v>
      </c>
      <c r="R74" s="11" t="s">
        <v>608</v>
      </c>
      <c r="S74" s="11"/>
      <c r="T74" s="90"/>
      <c r="U74" s="49"/>
      <c r="V74"/>
      <c r="X74"/>
    </row>
    <row r="75" spans="1:27" hidden="1">
      <c r="A75" s="87" t="s">
        <v>210</v>
      </c>
      <c r="B75" s="53" t="str">
        <f>VLOOKUP('Project documentation'!A75,'Project List 2026'!B:E,2,0)</f>
        <v>Telecoms</v>
      </c>
      <c r="C75" s="41" t="str">
        <f>VLOOKUP(A75,'Project List 2026'!B:I,4,0)</f>
        <v>Jan Ondrak</v>
      </c>
      <c r="D75" s="41" t="str">
        <f>VLOOKUP(A75,'Project List 2026'!B:F,5,0)</f>
        <v>Internal</v>
      </c>
      <c r="E75" s="41" t="str">
        <f>VLOOKUP(A75,'Project List 2026'!B:L,11,0)</f>
        <v>ITS</v>
      </c>
      <c r="F75" s="54" t="str">
        <f>VLOOKUP(A75,'Project List 2026'!B:I,8,0)</f>
        <v>Completed</v>
      </c>
      <c r="G75" s="11" t="s">
        <v>533</v>
      </c>
      <c r="H75" s="11"/>
      <c r="I75" s="11"/>
      <c r="J75" s="11" t="s">
        <v>533</v>
      </c>
      <c r="K75" s="11" t="s">
        <v>532</v>
      </c>
      <c r="L75" s="11"/>
      <c r="M75" s="11" t="s">
        <v>533</v>
      </c>
      <c r="N75" s="11"/>
      <c r="O75" s="11" t="s">
        <v>533</v>
      </c>
      <c r="P75" s="11"/>
      <c r="Q75" s="11" t="s">
        <v>18</v>
      </c>
      <c r="R75" s="11" t="s">
        <v>451</v>
      </c>
      <c r="S75" s="11"/>
      <c r="T75" s="11"/>
      <c r="U75" s="49"/>
      <c r="V75"/>
      <c r="X75"/>
    </row>
    <row r="76" spans="1:27" hidden="1">
      <c r="A76" s="33" t="s">
        <v>212</v>
      </c>
      <c r="B76" s="53" t="str">
        <f>VLOOKUP('Project documentation'!A76,'Project List 2026'!B:E,2,0)</f>
        <v>Telecoms</v>
      </c>
      <c r="C76" s="41" t="str">
        <f>VLOOKUP(A76,'Project List 2026'!B:I,4,0)</f>
        <v>Jan Ondrak</v>
      </c>
      <c r="D76" s="41" t="str">
        <f>VLOOKUP(A76,'Project List 2026'!B:F,5,0)</f>
        <v>Internal</v>
      </c>
      <c r="E76" s="41" t="str">
        <f>VLOOKUP(A76,'Project List 2026'!B:L,11,0)</f>
        <v>Multiple</v>
      </c>
      <c r="F76" s="54" t="str">
        <f>VLOOKUP(A76,'Project List 2026'!B:I,8,0)</f>
        <v>Ongoing</v>
      </c>
      <c r="G76" s="11" t="s">
        <v>533</v>
      </c>
      <c r="H76" s="134">
        <v>46203</v>
      </c>
      <c r="I76" s="134"/>
      <c r="J76" s="11" t="s">
        <v>545</v>
      </c>
      <c r="K76" s="11" t="s">
        <v>532</v>
      </c>
      <c r="L76" s="11" t="s">
        <v>609</v>
      </c>
      <c r="M76" s="11" t="s">
        <v>545</v>
      </c>
      <c r="N76" s="11"/>
      <c r="O76" s="11" t="s">
        <v>545</v>
      </c>
      <c r="P76" s="11"/>
      <c r="Q76" s="11" t="s">
        <v>18</v>
      </c>
      <c r="R76" s="11" t="s">
        <v>610</v>
      </c>
      <c r="S76" s="11"/>
      <c r="T76" s="90"/>
      <c r="U76" s="49"/>
      <c r="V76"/>
      <c r="X76"/>
    </row>
    <row r="77" spans="1:27" hidden="1">
      <c r="A77" s="33" t="s">
        <v>214</v>
      </c>
      <c r="B77" s="53" t="str">
        <f>VLOOKUP('Project documentation'!A77,'Project List 2026'!B:E,2,0)</f>
        <v>Telecoms</v>
      </c>
      <c r="C77" s="41" t="str">
        <f>VLOOKUP(A77,'Project List 2026'!B:I,4,0)</f>
        <v>Jan Ondrak</v>
      </c>
      <c r="D77" s="41" t="str">
        <f>VLOOKUP(A77,'Project List 2026'!B:F,5,0)</f>
        <v>Internal</v>
      </c>
      <c r="E77" s="41" t="str">
        <f>VLOOKUP(A77,'Project List 2026'!B:L,11,0)</f>
        <v>Multiple</v>
      </c>
      <c r="F77" s="54" t="str">
        <f>VLOOKUP(A77,'Project List 2026'!B:I,8,0)</f>
        <v>Ongoing</v>
      </c>
      <c r="G77" s="11" t="s">
        <v>533</v>
      </c>
      <c r="H77" s="134">
        <v>46203</v>
      </c>
      <c r="I77" s="134"/>
      <c r="J77" s="11" t="s">
        <v>545</v>
      </c>
      <c r="K77" s="11" t="s">
        <v>532</v>
      </c>
      <c r="L77" s="11" t="s">
        <v>611</v>
      </c>
      <c r="M77" s="11" t="s">
        <v>545</v>
      </c>
      <c r="N77" s="11"/>
      <c r="O77" s="11" t="s">
        <v>545</v>
      </c>
      <c r="P77" s="11"/>
      <c r="Q77" s="11" t="s">
        <v>18</v>
      </c>
      <c r="R77" s="11" t="s">
        <v>610</v>
      </c>
      <c r="S77" s="11"/>
      <c r="T77" s="90"/>
      <c r="U77" s="49"/>
      <c r="V77"/>
      <c r="X77"/>
    </row>
    <row r="78" spans="1:27" hidden="1">
      <c r="A78" s="41" t="s">
        <v>241</v>
      </c>
      <c r="B78" s="53" t="str">
        <f>VLOOKUP('Project documentation'!A78,'Project List 2026'!B:E,2,0)</f>
        <v>Telecoms</v>
      </c>
      <c r="C78" s="41" t="str">
        <f>VLOOKUP(A78,'Project List 2026'!B:I,4,0)</f>
        <v>Jaroslav Kral</v>
      </c>
      <c r="D78" s="41" t="str">
        <f>VLOOKUP(A78,'Project List 2026'!B:F,5,0)</f>
        <v>Internal</v>
      </c>
      <c r="E78" s="41" t="str">
        <f>VLOOKUP(A78,'Project List 2026'!B:L,11,0)</f>
        <v>Multiple</v>
      </c>
      <c r="F78" s="54" t="str">
        <f>VLOOKUP(A78,'Project List 2026'!B:I,8,0)</f>
        <v>Ongoing</v>
      </c>
      <c r="G78" s="11" t="s">
        <v>533</v>
      </c>
      <c r="H78" s="11"/>
      <c r="I78" s="11"/>
      <c r="J78" s="11" t="s">
        <v>545</v>
      </c>
      <c r="K78" s="11" t="s">
        <v>533</v>
      </c>
      <c r="L78" s="11" t="s">
        <v>612</v>
      </c>
      <c r="M78" s="11" t="s">
        <v>545</v>
      </c>
      <c r="N78" s="11"/>
      <c r="O78" s="11" t="s">
        <v>545</v>
      </c>
      <c r="P78" s="11"/>
      <c r="Q78" s="11" t="s">
        <v>18</v>
      </c>
      <c r="R78" s="11" t="s">
        <v>613</v>
      </c>
      <c r="S78" s="11"/>
      <c r="T78" s="90"/>
      <c r="U78" s="49"/>
      <c r="V78"/>
      <c r="X78"/>
      <c r="AA78" t="s">
        <v>614</v>
      </c>
    </row>
    <row r="79" spans="1:27" hidden="1">
      <c r="A79" s="41" t="s">
        <v>249</v>
      </c>
      <c r="B79" s="53" t="str">
        <f>VLOOKUP('Project documentation'!A79,'Project List 2026'!B:E,2,0)</f>
        <v>Telecoms</v>
      </c>
      <c r="C79" s="41" t="str">
        <f>VLOOKUP(A79,'Project List 2026'!B:I,4,0)</f>
        <v>Kirill Shabalkin</v>
      </c>
      <c r="D79" s="41" t="str">
        <f>VLOOKUP(A79,'Project List 2026'!B:F,5,0)</f>
        <v>Internal</v>
      </c>
      <c r="E79" s="41" t="str">
        <f>VLOOKUP(A79,'Project List 2026'!B:L,11,0)</f>
        <v>ITS</v>
      </c>
      <c r="F79" s="54" t="str">
        <f>VLOOKUP(A79,'Project List 2026'!B:I,8,0)</f>
        <v>Completed</v>
      </c>
      <c r="G79" s="11" t="s">
        <v>532</v>
      </c>
      <c r="H79" s="11"/>
      <c r="I79" s="11"/>
      <c r="J79" s="11" t="s">
        <v>532</v>
      </c>
      <c r="K79" s="11" t="s">
        <v>532</v>
      </c>
      <c r="L79" s="11"/>
      <c r="M79" s="11"/>
      <c r="N79" s="11"/>
      <c r="O79" s="11"/>
      <c r="P79" s="11"/>
      <c r="Q79" s="11"/>
      <c r="R79" s="11"/>
      <c r="S79" s="11"/>
      <c r="T79" s="11"/>
      <c r="U79" s="49"/>
      <c r="V79"/>
      <c r="X79"/>
    </row>
    <row r="80" spans="1:27" hidden="1">
      <c r="A80" s="41" t="s">
        <v>252</v>
      </c>
      <c r="B80" s="53" t="str">
        <f>VLOOKUP('Project documentation'!A80,'Project List 2026'!B:E,2,0)</f>
        <v>Telecoms</v>
      </c>
      <c r="C80" s="41" t="str">
        <f>VLOOKUP(A80,'Project List 2026'!B:I,4,0)</f>
        <v>Kirill Shabalkin</v>
      </c>
      <c r="D80" s="41" t="str">
        <f>VLOOKUP(A80,'Project List 2026'!B:F,5,0)</f>
        <v>Internal</v>
      </c>
      <c r="E80" s="41" t="str">
        <f>VLOOKUP(A80,'Project List 2026'!B:L,11,0)</f>
        <v>ITS</v>
      </c>
      <c r="F80" s="54" t="str">
        <f>VLOOKUP(A80,'Project List 2026'!B:I,8,0)</f>
        <v>On hold</v>
      </c>
      <c r="G80" s="11" t="s">
        <v>532</v>
      </c>
      <c r="H80" s="11"/>
      <c r="I80" s="11"/>
      <c r="J80" s="11" t="s">
        <v>532</v>
      </c>
      <c r="K80" s="11" t="s">
        <v>532</v>
      </c>
      <c r="L80" s="11" t="s">
        <v>157</v>
      </c>
      <c r="M80" s="11" t="s">
        <v>532</v>
      </c>
      <c r="N80" s="11"/>
      <c r="O80" s="11" t="s">
        <v>532</v>
      </c>
      <c r="P80" s="11"/>
      <c r="Q80" s="11"/>
      <c r="R80" s="11"/>
      <c r="S80" s="11"/>
      <c r="T80" s="11"/>
      <c r="U80" s="49"/>
      <c r="V80"/>
      <c r="X80"/>
      <c r="AA80" s="135" t="s">
        <v>600</v>
      </c>
    </row>
    <row r="81" spans="1:27" hidden="1">
      <c r="A81" s="41" t="s">
        <v>253</v>
      </c>
      <c r="B81" s="53" t="str">
        <f>VLOOKUP('Project documentation'!A81,'Project List 2026'!B:E,2,0)</f>
        <v>Telecoms</v>
      </c>
      <c r="C81" s="41" t="str">
        <f>VLOOKUP(A81,'Project List 2026'!B:I,4,0)</f>
        <v>Kirill Shabalkin</v>
      </c>
      <c r="D81" s="41" t="str">
        <f>VLOOKUP(A81,'Project List 2026'!B:F,5,0)</f>
        <v>Internal</v>
      </c>
      <c r="E81" s="41" t="str">
        <f>VLOOKUP(A81,'Project List 2026'!B:L,11,0)</f>
        <v>ITS</v>
      </c>
      <c r="F81" s="54" t="str">
        <f>VLOOKUP(A81,'Project List 2026'!B:I,8,0)</f>
        <v>Ongoing</v>
      </c>
      <c r="G81" s="11" t="s">
        <v>532</v>
      </c>
      <c r="H81" s="11"/>
      <c r="I81" s="11"/>
      <c r="J81" s="11" t="s">
        <v>532</v>
      </c>
      <c r="K81" s="11" t="s">
        <v>532</v>
      </c>
      <c r="L81" s="11" t="s">
        <v>532</v>
      </c>
      <c r="M81" s="11" t="s">
        <v>532</v>
      </c>
      <c r="N81" s="11"/>
      <c r="O81" s="11" t="s">
        <v>532</v>
      </c>
      <c r="P81" s="11"/>
      <c r="Q81" s="11"/>
      <c r="R81" s="11"/>
      <c r="S81" s="11"/>
      <c r="T81" s="11"/>
      <c r="U81" s="49"/>
      <c r="V81"/>
      <c r="X81"/>
      <c r="AA81" t="s">
        <v>615</v>
      </c>
    </row>
    <row r="82" spans="1:27" hidden="1">
      <c r="A82" s="41" t="s">
        <v>255</v>
      </c>
      <c r="B82" s="53" t="str">
        <f>VLOOKUP('Project documentation'!A82,'Project List 2026'!B:E,2,0)</f>
        <v>Telecoms</v>
      </c>
      <c r="C82" s="41" t="str">
        <f>VLOOKUP(A82,'Project List 2026'!B:I,4,0)</f>
        <v>Kirill Shabalkin</v>
      </c>
      <c r="D82" s="41" t="str">
        <f>VLOOKUP(A82,'Project List 2026'!B:F,5,0)</f>
        <v>Internal</v>
      </c>
      <c r="E82" s="41" t="str">
        <f>VLOOKUP(A82,'Project List 2026'!B:L,11,0)</f>
        <v>Multiple</v>
      </c>
      <c r="F82" s="54" t="str">
        <f>VLOOKUP(A82,'Project List 2026'!B:I,8,0)</f>
        <v>Ongoing</v>
      </c>
      <c r="G82" s="11" t="s">
        <v>533</v>
      </c>
      <c r="H82" s="11"/>
      <c r="I82" s="11"/>
      <c r="J82" s="11" t="s">
        <v>545</v>
      </c>
      <c r="K82" s="11" t="s">
        <v>533</v>
      </c>
      <c r="L82" s="11" t="s">
        <v>616</v>
      </c>
      <c r="M82" s="11" t="s">
        <v>545</v>
      </c>
      <c r="N82" s="11"/>
      <c r="O82" s="11" t="s">
        <v>545</v>
      </c>
      <c r="P82" s="11"/>
      <c r="Q82" s="11" t="s">
        <v>18</v>
      </c>
      <c r="R82" s="11" t="s">
        <v>617</v>
      </c>
      <c r="S82" s="11"/>
      <c r="T82" s="90"/>
      <c r="U82" s="49"/>
      <c r="V82"/>
      <c r="X82"/>
    </row>
    <row r="83" spans="1:27" hidden="1">
      <c r="A83" s="41" t="s">
        <v>270</v>
      </c>
      <c r="B83" s="53" t="str">
        <f>VLOOKUP('Project documentation'!A83,'Project List 2026'!B:E,2,0)</f>
        <v>Telecoms</v>
      </c>
      <c r="C83" s="41" t="str">
        <f>VLOOKUP(A83,'Project List 2026'!B:I,4,0)</f>
        <v>Ludek Houska</v>
      </c>
      <c r="D83" s="41" t="str">
        <f>VLOOKUP(A83,'Project List 2026'!B:F,5,0)</f>
        <v>Internal</v>
      </c>
      <c r="E83" s="41" t="str">
        <f>VLOOKUP(A83,'Project List 2026'!B:L,11,0)</f>
        <v>ITS</v>
      </c>
      <c r="F83" s="54" t="str">
        <f>VLOOKUP(A83,'Project List 2026'!B:I,8,0)</f>
        <v>Ongoing</v>
      </c>
      <c r="G83" s="11" t="s">
        <v>533</v>
      </c>
      <c r="H83" s="11"/>
      <c r="I83" s="11"/>
      <c r="J83" s="11" t="s">
        <v>545</v>
      </c>
      <c r="K83" s="40" t="s">
        <v>538</v>
      </c>
      <c r="L83" s="19" t="s">
        <v>618</v>
      </c>
      <c r="M83" s="11" t="s">
        <v>545</v>
      </c>
      <c r="N83" s="11"/>
      <c r="O83" s="11" t="s">
        <v>545</v>
      </c>
      <c r="P83" s="11"/>
      <c r="Q83" s="11" t="s">
        <v>18</v>
      </c>
      <c r="R83" s="11" t="s">
        <v>619</v>
      </c>
      <c r="S83" s="11"/>
      <c r="T83" s="90"/>
      <c r="U83" s="49"/>
      <c r="V83"/>
      <c r="X83"/>
    </row>
    <row r="84" spans="1:27" hidden="1">
      <c r="A84" s="33" t="s">
        <v>272</v>
      </c>
      <c r="B84" s="53" t="str">
        <f>VLOOKUP('Project documentation'!A84,'Project List 2026'!B:E,2,0)</f>
        <v>Telecoms</v>
      </c>
      <c r="C84" s="41" t="str">
        <f>VLOOKUP(A84,'Project List 2026'!B:I,4,0)</f>
        <v>Ludek Houska</v>
      </c>
      <c r="D84" s="41" t="str">
        <f>VLOOKUP(A84,'Project List 2026'!B:F,5,0)</f>
        <v>External</v>
      </c>
      <c r="E84" s="41" t="str">
        <f>VLOOKUP(A84,'Project List 2026'!B:L,11,0)</f>
        <v>DeC</v>
      </c>
      <c r="F84" s="54" t="str">
        <f>VLOOKUP(A84,'Project List 2026'!B:I,8,0)</f>
        <v>Completed</v>
      </c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49"/>
      <c r="V84"/>
      <c r="X84"/>
    </row>
    <row r="85" spans="1:27" hidden="1">
      <c r="A85" s="41" t="s">
        <v>322</v>
      </c>
      <c r="B85" s="53" t="str">
        <f>VLOOKUP('Project documentation'!A85,'Project List 2026'!B:E,2,0)</f>
        <v>Telecoms</v>
      </c>
      <c r="C85" s="41" t="str">
        <f>VLOOKUP(A85,'Project List 2026'!B:I,4,0)</f>
        <v>Jaroslav Kral</v>
      </c>
      <c r="D85" s="41" t="str">
        <f>VLOOKUP(A85,'Project List 2026'!B:F,5,0)</f>
        <v>Internal</v>
      </c>
      <c r="E85" s="41" t="str">
        <f>VLOOKUP(A85,'Project List 2026'!B:L,11,0)</f>
        <v>ITS</v>
      </c>
      <c r="F85" s="54" t="str">
        <f>VLOOKUP(A85,'Project List 2026'!B:I,8,0)</f>
        <v>Ongoing</v>
      </c>
      <c r="G85" s="11" t="s">
        <v>545</v>
      </c>
      <c r="H85" s="110">
        <v>46181</v>
      </c>
      <c r="I85" s="110">
        <v>46209</v>
      </c>
      <c r="J85" s="11"/>
      <c r="K85" s="11" t="s">
        <v>533</v>
      </c>
      <c r="L85" s="11" t="s">
        <v>620</v>
      </c>
      <c r="M85" s="11"/>
      <c r="N85" s="11"/>
      <c r="O85" s="11"/>
      <c r="P85" s="11"/>
      <c r="Q85" s="11" t="s">
        <v>18</v>
      </c>
      <c r="R85" s="11" t="s">
        <v>610</v>
      </c>
      <c r="S85" s="11" t="s">
        <v>538</v>
      </c>
      <c r="T85" s="89"/>
      <c r="U85" s="49"/>
      <c r="V85"/>
      <c r="X85"/>
    </row>
    <row r="86" spans="1:27" hidden="1">
      <c r="A86" s="41" t="s">
        <v>324</v>
      </c>
      <c r="B86" s="53" t="str">
        <f>VLOOKUP('Project documentation'!A86,'Project List 2026'!B:E,2,0)</f>
        <v>Telecoms</v>
      </c>
      <c r="C86" s="41" t="str">
        <f>VLOOKUP(A86,'Project List 2026'!B:I,4,0)</f>
        <v>Rene Zamecnik</v>
      </c>
      <c r="D86" s="41" t="str">
        <f>VLOOKUP(A86,'Project List 2026'!B:F,5,0)</f>
        <v>Internal</v>
      </c>
      <c r="E86" s="41" t="str">
        <f>VLOOKUP(A86,'Project List 2026'!B:L,11,0)</f>
        <v>ITS</v>
      </c>
      <c r="F86" s="54" t="str">
        <f>VLOOKUP(A86,'Project List 2026'!B:I,8,0)</f>
        <v>Ongoing</v>
      </c>
      <c r="G86" s="11" t="s">
        <v>533</v>
      </c>
      <c r="H86" s="11"/>
      <c r="I86" s="11"/>
      <c r="J86" s="11" t="s">
        <v>545</v>
      </c>
      <c r="K86" s="11" t="s">
        <v>533</v>
      </c>
      <c r="L86" s="11" t="s">
        <v>621</v>
      </c>
      <c r="M86" s="11" t="s">
        <v>545</v>
      </c>
      <c r="N86" s="11"/>
      <c r="O86" s="11" t="s">
        <v>545</v>
      </c>
      <c r="P86" s="11"/>
      <c r="Q86" s="11" t="s">
        <v>18</v>
      </c>
      <c r="R86" s="11" t="s">
        <v>610</v>
      </c>
      <c r="S86" s="11"/>
      <c r="T86" s="89"/>
      <c r="U86" s="49"/>
      <c r="V86"/>
      <c r="X86"/>
    </row>
    <row r="87" spans="1:27" hidden="1">
      <c r="A87" s="33" t="s">
        <v>370</v>
      </c>
      <c r="B87" s="53" t="str">
        <f>VLOOKUP('Project documentation'!A87,'Project List 2026'!B:E,2,0)</f>
        <v>Telecoms</v>
      </c>
      <c r="C87" s="41" t="str">
        <f>VLOOKUP(A87,'Project List 2026'!B:I,4,0)</f>
        <v>Zied Erebai</v>
      </c>
      <c r="D87" s="41" t="str">
        <f>VLOOKUP(A87,'Project List 2026'!B:F,5,0)</f>
        <v>Internal</v>
      </c>
      <c r="E87" s="41" t="str">
        <f>VLOOKUP(A87,'Project List 2026'!B:L,11,0)</f>
        <v>ITS</v>
      </c>
      <c r="F87" s="54" t="str">
        <f>VLOOKUP(A87,'Project List 2026'!B:I,8,0)</f>
        <v>Ongoing</v>
      </c>
      <c r="G87" s="11" t="s">
        <v>533</v>
      </c>
      <c r="H87" s="11"/>
      <c r="I87" s="11"/>
      <c r="J87" s="11" t="s">
        <v>533</v>
      </c>
      <c r="K87" s="11" t="s">
        <v>532</v>
      </c>
      <c r="L87" s="11"/>
      <c r="M87" s="11" t="s">
        <v>545</v>
      </c>
      <c r="N87" s="11"/>
      <c r="O87" s="11" t="s">
        <v>545</v>
      </c>
      <c r="P87" s="11"/>
      <c r="Q87" s="11" t="s">
        <v>18</v>
      </c>
      <c r="R87" s="11"/>
      <c r="S87" s="11"/>
      <c r="T87" s="11"/>
      <c r="U87" s="49"/>
      <c r="V87"/>
      <c r="X87"/>
    </row>
    <row r="88" spans="1:27" hidden="1">
      <c r="A88" s="33" t="s">
        <v>373</v>
      </c>
      <c r="B88" s="53" t="str">
        <f>VLOOKUP('Project documentation'!A88,'Project List 2026'!B:E,2,0)</f>
        <v>Telecoms</v>
      </c>
      <c r="C88" s="41" t="str">
        <f>VLOOKUP(A88,'Project List 2026'!B:I,4,0)</f>
        <v>Zied Erebai</v>
      </c>
      <c r="D88" s="41" t="str">
        <f>VLOOKUP(A88,'Project List 2026'!B:F,5,0)</f>
        <v>Internal</v>
      </c>
      <c r="E88" s="41" t="str">
        <f>VLOOKUP(A88,'Project List 2026'!B:L,11,0)</f>
        <v>ITS</v>
      </c>
      <c r="F88" s="54" t="str">
        <f>VLOOKUP(A88,'Project List 2026'!B:I,8,0)</f>
        <v>Ongoing</v>
      </c>
      <c r="G88" s="11" t="s">
        <v>533</v>
      </c>
      <c r="H88" s="11"/>
      <c r="I88" s="11"/>
      <c r="J88" s="11" t="s">
        <v>533</v>
      </c>
      <c r="K88" s="11" t="s">
        <v>532</v>
      </c>
      <c r="L88" s="11"/>
      <c r="M88" s="11" t="s">
        <v>545</v>
      </c>
      <c r="N88" s="11"/>
      <c r="O88" s="11" t="s">
        <v>545</v>
      </c>
      <c r="P88" s="11"/>
      <c r="Q88" s="11" t="s">
        <v>18</v>
      </c>
      <c r="R88" s="11"/>
      <c r="S88" s="11"/>
      <c r="T88" s="11"/>
      <c r="U88" s="49"/>
      <c r="V88"/>
      <c r="X88"/>
    </row>
    <row r="89" spans="1:27" hidden="1">
      <c r="A89" s="87" t="s">
        <v>375</v>
      </c>
      <c r="B89" s="53" t="str">
        <f>VLOOKUP('Project documentation'!A89,'Project List 2026'!B:E,2,0)</f>
        <v>Telecoms</v>
      </c>
      <c r="C89" s="41" t="str">
        <f>VLOOKUP(A89,'Project List 2026'!B:I,4,0)</f>
        <v>Zied Erebai</v>
      </c>
      <c r="D89" s="41" t="str">
        <f>VLOOKUP(A89,'Project List 2026'!B:F,5,0)</f>
        <v>Internal</v>
      </c>
      <c r="E89" s="41" t="str">
        <f>VLOOKUP(A89,'Project List 2026'!B:L,11,0)</f>
        <v>ITS</v>
      </c>
      <c r="F89" s="54" t="str">
        <f>VLOOKUP(A89,'Project List 2026'!B:I,8,0)</f>
        <v>Ongoing</v>
      </c>
      <c r="G89" s="11" t="s">
        <v>545</v>
      </c>
      <c r="H89" s="11"/>
      <c r="I89" s="11"/>
      <c r="J89" s="11" t="s">
        <v>545</v>
      </c>
      <c r="K89" s="11" t="s">
        <v>532</v>
      </c>
      <c r="L89" s="11" t="s">
        <v>622</v>
      </c>
      <c r="M89" s="11" t="s">
        <v>545</v>
      </c>
      <c r="N89" s="11"/>
      <c r="O89" s="11" t="s">
        <v>545</v>
      </c>
      <c r="P89" s="11"/>
      <c r="Q89" s="11" t="s">
        <v>18</v>
      </c>
      <c r="R89" s="11" t="s">
        <v>610</v>
      </c>
      <c r="S89" s="11"/>
      <c r="T89" s="90"/>
      <c r="U89" s="49"/>
      <c r="V89"/>
      <c r="X89"/>
    </row>
    <row r="90" spans="1:27" hidden="1">
      <c r="A90" s="33" t="s">
        <v>377</v>
      </c>
      <c r="B90" s="53" t="str">
        <f>VLOOKUP('Project documentation'!A90,'Project List 2026'!B:E,2,0)</f>
        <v>Telecoms</v>
      </c>
      <c r="C90" s="41" t="str">
        <f>VLOOKUP(A90,'Project List 2026'!B:I,4,0)</f>
        <v>Zied Erebai</v>
      </c>
      <c r="D90" s="41" t="str">
        <f>VLOOKUP(A90,'Project List 2026'!B:F,5,0)</f>
        <v>Internal</v>
      </c>
      <c r="E90" s="41" t="str">
        <f>VLOOKUP(A90,'Project List 2026'!B:L,11,0)</f>
        <v>ITS</v>
      </c>
      <c r="F90" s="54" t="str">
        <f>VLOOKUP(A90,'Project List 2026'!B:I,8,0)</f>
        <v>Ongoing</v>
      </c>
      <c r="G90" s="11" t="s">
        <v>532</v>
      </c>
      <c r="H90" s="11"/>
      <c r="I90" s="11"/>
      <c r="J90" s="11" t="s">
        <v>532</v>
      </c>
      <c r="K90" s="11" t="s">
        <v>532</v>
      </c>
      <c r="L90" s="11" t="s">
        <v>605</v>
      </c>
      <c r="M90" s="11" t="s">
        <v>532</v>
      </c>
      <c r="N90" s="11"/>
      <c r="O90" s="11" t="s">
        <v>532</v>
      </c>
      <c r="P90" s="11"/>
      <c r="Q90" s="11"/>
      <c r="R90" s="11"/>
      <c r="S90" s="11"/>
      <c r="T90" s="11"/>
      <c r="U90" s="49"/>
      <c r="V90"/>
      <c r="X90"/>
      <c r="AA90" t="s">
        <v>623</v>
      </c>
    </row>
    <row r="91" spans="1:27" hidden="1">
      <c r="A91" s="33" t="s">
        <v>378</v>
      </c>
      <c r="B91" s="53" t="str">
        <f>VLOOKUP('Project documentation'!A91,'Project List 2026'!B:E,2,0)</f>
        <v>Telecoms</v>
      </c>
      <c r="C91" s="41" t="str">
        <f>VLOOKUP(A91,'Project List 2026'!B:I,4,0)</f>
        <v>Zied Erebai</v>
      </c>
      <c r="D91" s="41" t="str">
        <f>VLOOKUP(A91,'Project List 2026'!B:F,5,0)</f>
        <v>Internal</v>
      </c>
      <c r="E91" s="41" t="str">
        <f>VLOOKUP(A91,'Project List 2026'!B:L,11,0)</f>
        <v>ITS</v>
      </c>
      <c r="F91" s="54" t="str">
        <f>VLOOKUP(A91,'Project List 2026'!B:I,8,0)</f>
        <v>Ongoing</v>
      </c>
      <c r="G91" s="11" t="s">
        <v>532</v>
      </c>
      <c r="H91" s="11"/>
      <c r="I91" s="11"/>
      <c r="J91" s="11" t="s">
        <v>532</v>
      </c>
      <c r="K91" s="11" t="s">
        <v>532</v>
      </c>
      <c r="L91" s="11" t="s">
        <v>605</v>
      </c>
      <c r="M91" s="11" t="s">
        <v>532</v>
      </c>
      <c r="N91" s="11"/>
      <c r="O91" s="11" t="s">
        <v>532</v>
      </c>
      <c r="P91" s="11"/>
      <c r="Q91" s="11"/>
      <c r="R91" s="11"/>
      <c r="S91" s="11"/>
      <c r="T91" s="11"/>
      <c r="U91" s="49"/>
      <c r="V91"/>
      <c r="X91"/>
      <c r="AA91" t="s">
        <v>623</v>
      </c>
    </row>
    <row r="92" spans="1:27" hidden="1">
      <c r="A92" s="87" t="s">
        <v>380</v>
      </c>
      <c r="B92" s="53" t="str">
        <f>VLOOKUP('Project documentation'!A92,'Project List 2026'!B:E,2,0)</f>
        <v>Telecoms</v>
      </c>
      <c r="C92" s="41" t="str">
        <f>VLOOKUP(A92,'Project List 2026'!B:I,4,0)</f>
        <v>Zied Erebai</v>
      </c>
      <c r="D92" s="41" t="str">
        <f>VLOOKUP(A92,'Project List 2026'!B:F,5,0)</f>
        <v>Internal</v>
      </c>
      <c r="E92" s="41" t="str">
        <f>VLOOKUP(A92,'Project List 2026'!B:L,11,0)</f>
        <v>ITS</v>
      </c>
      <c r="F92" s="54" t="str">
        <f>VLOOKUP(A92,'Project List 2026'!B:I,8,0)</f>
        <v>Ongoing</v>
      </c>
      <c r="G92" s="11" t="s">
        <v>533</v>
      </c>
      <c r="H92" s="11"/>
      <c r="I92" s="11"/>
      <c r="J92" s="11" t="s">
        <v>545</v>
      </c>
      <c r="K92" s="11"/>
      <c r="L92" s="11" t="s">
        <v>624</v>
      </c>
      <c r="M92" s="11" t="s">
        <v>545</v>
      </c>
      <c r="N92" s="11"/>
      <c r="O92" s="11" t="s">
        <v>545</v>
      </c>
      <c r="P92" s="11"/>
      <c r="Q92" s="11" t="s">
        <v>18</v>
      </c>
      <c r="R92" s="11" t="s">
        <v>625</v>
      </c>
      <c r="S92" s="11"/>
      <c r="T92" s="90"/>
      <c r="U92" s="49"/>
      <c r="V92"/>
      <c r="X92"/>
    </row>
    <row r="93" spans="1:27" hidden="1">
      <c r="A93" s="33" t="s">
        <v>382</v>
      </c>
      <c r="B93" s="53" t="str">
        <f>VLOOKUP('Project documentation'!A93,'Project List 2026'!B:E,2,0)</f>
        <v>Telecoms</v>
      </c>
      <c r="C93" s="41" t="str">
        <f>VLOOKUP(A93,'Project List 2026'!B:I,4,0)</f>
        <v>Zied Erebai</v>
      </c>
      <c r="D93" s="41" t="str">
        <f>VLOOKUP(A93,'Project List 2026'!B:F,5,0)</f>
        <v>Internal</v>
      </c>
      <c r="E93" s="41" t="str">
        <f>VLOOKUP(A93,'Project List 2026'!B:L,11,0)</f>
        <v>ITS</v>
      </c>
      <c r="F93" s="54" t="str">
        <f>VLOOKUP(A93,'Project List 2026'!B:I,8,0)</f>
        <v>Ongoing</v>
      </c>
      <c r="G93" s="11" t="s">
        <v>532</v>
      </c>
      <c r="H93" s="11"/>
      <c r="I93" s="11"/>
      <c r="J93" s="11" t="s">
        <v>532</v>
      </c>
      <c r="K93" s="11" t="s">
        <v>532</v>
      </c>
      <c r="L93" s="11" t="s">
        <v>605</v>
      </c>
      <c r="M93" s="11" t="s">
        <v>532</v>
      </c>
      <c r="N93" s="11"/>
      <c r="O93" s="11" t="s">
        <v>532</v>
      </c>
      <c r="P93" s="11"/>
      <c r="Q93" s="11"/>
      <c r="R93" s="11"/>
      <c r="S93" s="11"/>
      <c r="T93" s="11"/>
      <c r="U93" s="49"/>
      <c r="V93"/>
      <c r="X93"/>
      <c r="AA93" t="s">
        <v>623</v>
      </c>
    </row>
    <row r="94" spans="1:27">
      <c r="A94" s="33" t="s">
        <v>798</v>
      </c>
      <c r="B94" s="53" t="str">
        <f>VLOOKUP('Project documentation'!A94,'Project List 2026'!B:E,2,0)</f>
        <v>Hosting</v>
      </c>
      <c r="C94" s="41" t="str">
        <f>VLOOKUP(A94,'Project List 2026'!B:I,4,0)</f>
        <v>Zlata Benesova</v>
      </c>
      <c r="D94" s="41" t="str">
        <f>VLOOKUP(A94,'Project List 2026'!B:F,5,0)</f>
        <v>External</v>
      </c>
      <c r="E94" s="41" t="str">
        <f>VLOOKUP(A94,'Project List 2026'!B:L,11,0)</f>
        <v>DeC</v>
      </c>
      <c r="F94" s="54" t="str">
        <f>VLOOKUP(A94,'Project List 2026'!B:I,8,0)</f>
        <v>Ongoing</v>
      </c>
      <c r="G94" s="11" t="s">
        <v>533</v>
      </c>
      <c r="H94" s="110">
        <v>46129</v>
      </c>
      <c r="I94" s="110"/>
      <c r="J94" s="11" t="s">
        <v>533</v>
      </c>
      <c r="K94" s="11" t="s">
        <v>533</v>
      </c>
      <c r="L94" s="11" t="s">
        <v>626</v>
      </c>
      <c r="M94" s="11" t="s">
        <v>533</v>
      </c>
      <c r="N94" s="11"/>
      <c r="O94" s="11"/>
      <c r="P94" s="11"/>
      <c r="Q94" s="40" t="s">
        <v>163</v>
      </c>
      <c r="R94" s="11" t="s">
        <v>627</v>
      </c>
      <c r="S94" s="11"/>
      <c r="T94" s="90"/>
      <c r="U94" s="42" t="s">
        <v>538</v>
      </c>
      <c r="W94" s="40"/>
      <c r="X94" s="43" t="s">
        <v>538</v>
      </c>
      <c r="Y94" s="40"/>
      <c r="Z94" s="40" t="s">
        <v>538</v>
      </c>
    </row>
    <row r="95" spans="1:27">
      <c r="A95" s="87" t="s">
        <v>366</v>
      </c>
      <c r="B95" s="53" t="str">
        <f>VLOOKUP('Project documentation'!A95,'Project List 2026'!B:E,2,0)</f>
        <v>Hosting</v>
      </c>
      <c r="C95" s="41" t="str">
        <f>VLOOKUP(A95,'Project List 2026'!B:I,4,0)</f>
        <v>Yu Mon Htay</v>
      </c>
      <c r="D95" s="41" t="str">
        <f>VLOOKUP(A95,'Project List 2026'!B:F,5,0)</f>
        <v>Internal</v>
      </c>
      <c r="E95" s="41" t="str">
        <f>VLOOKUP(A95,'Project List 2026'!B:L,11,0)</f>
        <v>ITS</v>
      </c>
      <c r="F95" s="54" t="str">
        <f>VLOOKUP(A95,'Project List 2026'!B:I,8,0)</f>
        <v>Ongoing</v>
      </c>
      <c r="G95" s="11" t="s">
        <v>533</v>
      </c>
      <c r="H95" s="110">
        <v>46090</v>
      </c>
      <c r="I95" s="110"/>
      <c r="K95" s="11"/>
      <c r="L95" s="138"/>
      <c r="M95" s="11"/>
      <c r="N95" s="11"/>
      <c r="O95" s="11"/>
      <c r="P95" s="11"/>
      <c r="Q95" s="40" t="s">
        <v>163</v>
      </c>
      <c r="U95" s="49"/>
      <c r="W95" s="40"/>
      <c r="Y95" s="40"/>
    </row>
    <row r="96" spans="1:27" hidden="1">
      <c r="A96" s="107" t="s">
        <v>448</v>
      </c>
      <c r="B96" s="53" t="str">
        <f>VLOOKUP('Project documentation'!A96,'Project List 2026'!B:E,2,0)</f>
        <v>Americas</v>
      </c>
      <c r="C96" s="41" t="str">
        <f>VLOOKUP(A96,'Project List 2026'!B:I,4,0)</f>
        <v>Dayanna Abarca</v>
      </c>
      <c r="D96" s="41" t="str">
        <f>VLOOKUP(A96,'Project List 2026'!B:F,5,0)</f>
        <v>External</v>
      </c>
      <c r="E96" s="41" t="str">
        <f>VLOOKUP(A96,'Project List 2026'!B:L,11,0)</f>
        <v>DSC</v>
      </c>
      <c r="F96" s="54" t="str">
        <f>VLOOKUP(A96,'Project List 2026'!B:I,8,0)</f>
        <v>Ongoing</v>
      </c>
      <c r="G96" s="11" t="s">
        <v>533</v>
      </c>
      <c r="H96" s="110">
        <v>46154</v>
      </c>
      <c r="I96" s="110"/>
      <c r="K96" s="11" t="s">
        <v>533</v>
      </c>
      <c r="L96" s="11"/>
      <c r="M96" s="11"/>
      <c r="N96" s="11"/>
      <c r="O96" s="11"/>
      <c r="P96" s="11"/>
      <c r="U96" s="49"/>
      <c r="X96"/>
    </row>
    <row r="97" spans="1:27" hidden="1">
      <c r="A97" t="s">
        <v>450</v>
      </c>
      <c r="B97" s="53" t="str">
        <f>VLOOKUP('Project documentation'!A97,'Project List 2026'!B:E,2,0)</f>
        <v>Telecoms</v>
      </c>
      <c r="C97" s="41" t="str">
        <f>VLOOKUP(A97,'Project List 2026'!B:I,4,0)</f>
        <v>Zdenek Novotny</v>
      </c>
      <c r="D97" s="41" t="str">
        <f>VLOOKUP(A97,'Project List 2026'!B:F,5,0)</f>
        <v>External</v>
      </c>
      <c r="E97" s="41" t="str">
        <f>VLOOKUP(A97,'Project List 2026'!B:L,11,0)</f>
        <v>DeC</v>
      </c>
      <c r="F97" s="54" t="str">
        <f>VLOOKUP(A97,'Project List 2026'!B:I,8,0)</f>
        <v>Completed</v>
      </c>
      <c r="G97" s="11"/>
      <c r="H97" s="11"/>
      <c r="I97" s="11"/>
      <c r="K97" s="11"/>
      <c r="L97" s="11"/>
      <c r="M97" s="11"/>
      <c r="N97" s="11"/>
      <c r="O97" s="11"/>
      <c r="P97" s="11"/>
      <c r="U97" s="49"/>
      <c r="X97"/>
    </row>
    <row r="98" spans="1:27" hidden="1">
      <c r="A98" t="s">
        <v>453</v>
      </c>
      <c r="B98" s="53" t="str">
        <f>VLOOKUP('Project documentation'!A98,'Project List 2026'!B:E,2,0)</f>
        <v>Telecoms</v>
      </c>
      <c r="C98" s="41" t="str">
        <f>VLOOKUP(A98,'Project List 2026'!B:I,4,0)</f>
        <v>Zdenek Novotny</v>
      </c>
      <c r="D98" s="41" t="str">
        <f>VLOOKUP(A98,'Project List 2026'!B:F,5,0)</f>
        <v>External</v>
      </c>
      <c r="E98" s="41" t="str">
        <f>VLOOKUP(A98,'Project List 2026'!B:L,11,0)</f>
        <v>DeC</v>
      </c>
      <c r="F98" s="54" t="str">
        <f>VLOOKUP(A98,'Project List 2026'!B:I,8,0)</f>
        <v>Completed</v>
      </c>
      <c r="K98" s="11"/>
      <c r="L98" s="11"/>
      <c r="M98" s="11"/>
      <c r="N98" s="11"/>
      <c r="O98" s="11"/>
      <c r="P98" s="11"/>
      <c r="U98" s="49"/>
      <c r="X98"/>
    </row>
    <row r="99" spans="1:27" hidden="1">
      <c r="A99" t="s">
        <v>456</v>
      </c>
      <c r="B99" s="53" t="str">
        <f>VLOOKUP('Project documentation'!A99,'Project List 2026'!B:E,2,0)</f>
        <v>Telecoms</v>
      </c>
      <c r="C99" s="41" t="str">
        <f>VLOOKUP(A99,'Project List 2026'!B:I,4,0)</f>
        <v>Jan Cesnek</v>
      </c>
      <c r="D99" s="41" t="str">
        <f>VLOOKUP(A99,'Project List 2026'!B:F,5,0)</f>
        <v>External</v>
      </c>
      <c r="E99" s="41" t="str">
        <f>VLOOKUP(A99,'Project List 2026'!B:L,11,0)</f>
        <v>EXP</v>
      </c>
      <c r="F99" s="54" t="str">
        <f>VLOOKUP(A99,'Project List 2026'!B:I,8,0)</f>
        <v>Ongoing</v>
      </c>
      <c r="G99" s="40" t="s">
        <v>532</v>
      </c>
      <c r="J99" s="40" t="s">
        <v>532</v>
      </c>
      <c r="K99" s="11" t="s">
        <v>533</v>
      </c>
      <c r="L99" s="11"/>
      <c r="M99" s="11" t="s">
        <v>532</v>
      </c>
      <c r="N99" s="11"/>
      <c r="O99" s="11" t="s">
        <v>532</v>
      </c>
      <c r="P99" s="11"/>
      <c r="U99" s="49"/>
      <c r="X99"/>
      <c r="AA99" t="s">
        <v>206</v>
      </c>
    </row>
    <row r="100" spans="1:27" hidden="1">
      <c r="A100" t="s">
        <v>458</v>
      </c>
      <c r="B100" s="53" t="str">
        <f>VLOOKUP('Project documentation'!A100,'Project List 2026'!B:E,2,0)</f>
        <v>Telecoms</v>
      </c>
      <c r="C100" s="41" t="str">
        <f>VLOOKUP(A100,'Project List 2026'!B:I,4,0)</f>
        <v>Rene Zamecnik</v>
      </c>
      <c r="D100" s="41" t="str">
        <f>VLOOKUP(A100,'Project List 2026'!B:F,5,0)</f>
        <v>External</v>
      </c>
      <c r="E100" s="41" t="str">
        <f>VLOOKUP(A100,'Project List 2026'!B:L,11,0)</f>
        <v>DSC</v>
      </c>
      <c r="F100" s="54" t="str">
        <f>VLOOKUP(A100,'Project List 2026'!B:I,8,0)</f>
        <v>Ongoing</v>
      </c>
      <c r="K100" s="11"/>
      <c r="L100" s="11"/>
      <c r="M100" s="11"/>
      <c r="N100" s="11"/>
      <c r="O100" s="11"/>
      <c r="P100" s="11"/>
      <c r="Q100" s="40" t="s">
        <v>18</v>
      </c>
      <c r="U100" s="49"/>
    </row>
    <row r="101" spans="1:27" hidden="1">
      <c r="A101" t="s">
        <v>465</v>
      </c>
      <c r="B101" s="53" t="str">
        <f>VLOOKUP('Project documentation'!A101,'Project List 2026'!B:E,2,0)</f>
        <v>APAC</v>
      </c>
      <c r="C101" s="41" t="str">
        <f>VLOOKUP(A101,'Project List 2026'!B:I,4,0)</f>
        <v>Lisette Fincke</v>
      </c>
      <c r="D101" s="41" t="str">
        <f>VLOOKUP(A101,'Project List 2026'!B:F,5,0)</f>
        <v>External</v>
      </c>
      <c r="E101" s="41" t="str">
        <f>VLOOKUP(A101,'Project List 2026'!B:L,11,0)</f>
        <v>DSC</v>
      </c>
      <c r="F101" s="54" t="str">
        <f>VLOOKUP(A101,'Project List 2026'!B:I,8,0)</f>
        <v>Ongoing</v>
      </c>
      <c r="K101" s="11" t="s">
        <v>533</v>
      </c>
      <c r="L101" s="11"/>
      <c r="M101" s="11"/>
      <c r="N101" s="11"/>
      <c r="O101" s="11"/>
      <c r="P101" s="11"/>
      <c r="U101" s="49"/>
    </row>
    <row r="102" spans="1:27" hidden="1">
      <c r="A102" t="s">
        <v>462</v>
      </c>
      <c r="B102" s="53" t="str">
        <f>VLOOKUP('Project documentation'!A102,'Project List 2026'!B:E,2,0)</f>
        <v>Americas</v>
      </c>
      <c r="C102" s="41" t="str">
        <f>VLOOKUP(A102,'Project List 2026'!B:I,4,0)</f>
        <v>Dayanna Abarca</v>
      </c>
      <c r="D102" s="41" t="str">
        <f>VLOOKUP(A102,'Project List 2026'!B:F,5,0)</f>
        <v>External</v>
      </c>
      <c r="E102" s="41" t="str">
        <f>VLOOKUP(A102,'Project List 2026'!B:L,11,0)</f>
        <v>DeC</v>
      </c>
      <c r="F102" s="54" t="str">
        <f>VLOOKUP(A102,'Project List 2026'!B:I,8,0)</f>
        <v>Initiation</v>
      </c>
      <c r="K102" s="11"/>
      <c r="L102" s="11"/>
      <c r="M102" s="11"/>
      <c r="N102" s="11"/>
      <c r="O102" s="11"/>
      <c r="P102" s="11"/>
      <c r="U102" s="49"/>
    </row>
    <row r="103" spans="1:27" hidden="1">
      <c r="A103" t="s">
        <v>460</v>
      </c>
      <c r="B103" s="53" t="e">
        <f>VLOOKUP('Project documentation'!A103,'Project List 2026'!B:E,2,0)</f>
        <v>#N/A</v>
      </c>
      <c r="C103" s="41" t="e">
        <f>VLOOKUP(A103,'Project List 2026'!B:I,4,0)</f>
        <v>#N/A</v>
      </c>
      <c r="D103" s="41" t="e">
        <f>VLOOKUP(A103,'Project List 2026'!B:F,5,0)</f>
        <v>#N/A</v>
      </c>
      <c r="E103" s="41" t="e">
        <f>VLOOKUP(A103,'Project List 2026'!B:L,11,0)</f>
        <v>#N/A</v>
      </c>
      <c r="F103" s="54" t="e">
        <f>VLOOKUP(A103,'Project List 2026'!B:I,8,0)</f>
        <v>#N/A</v>
      </c>
      <c r="K103" s="11"/>
      <c r="L103" s="11"/>
      <c r="M103" s="11"/>
      <c r="N103" s="11"/>
      <c r="O103" s="11"/>
      <c r="P103" s="11"/>
      <c r="U103" s="49"/>
    </row>
    <row r="104" spans="1:27">
      <c r="A104" t="s">
        <v>443</v>
      </c>
      <c r="B104" s="53" t="str">
        <f>VLOOKUP('Project documentation'!A104,'Project List 2026'!B:E,2,0)</f>
        <v>Hosting</v>
      </c>
      <c r="C104" s="41" t="str">
        <f>VLOOKUP(A104,'Project List 2026'!B:I,4,0)</f>
        <v>Irina Denisova</v>
      </c>
      <c r="D104" s="41" t="str">
        <f>VLOOKUP(A104,'Project List 2026'!B:F,5,0)</f>
        <v>Internal</v>
      </c>
      <c r="E104" s="41" t="str">
        <f>VLOOKUP(A104,'Project List 2026'!B:L,11,0)</f>
        <v>ITS</v>
      </c>
      <c r="F104" s="54" t="str">
        <f>VLOOKUP(A104,'Project List 2026'!B:I,8,0)</f>
        <v>Ongoing</v>
      </c>
      <c r="G104" s="40" t="s">
        <v>533</v>
      </c>
      <c r="K104" s="11" t="s">
        <v>533</v>
      </c>
      <c r="L104" s="11" t="s">
        <v>793</v>
      </c>
      <c r="M104" s="11"/>
      <c r="N104" s="11"/>
      <c r="O104" s="11"/>
      <c r="P104" s="11"/>
      <c r="U104" s="49"/>
    </row>
    <row r="105" spans="1:27">
      <c r="A105" t="s">
        <v>476</v>
      </c>
      <c r="B105" s="53" t="str">
        <f>VLOOKUP('Project documentation'!A105,'Project List 2026'!B:E,2,0)</f>
        <v>Hosting</v>
      </c>
      <c r="C105" s="41" t="str">
        <f>VLOOKUP(A105,'Project List 2026'!B:I,4,0)</f>
        <v>Hana Kodatova</v>
      </c>
      <c r="D105" s="41" t="str">
        <f>VLOOKUP(A105,'Project List 2026'!B:F,5,0)</f>
        <v>External</v>
      </c>
      <c r="E105" s="41" t="str">
        <f>VLOOKUP(A105,'Project List 2026'!B:L,11,0)</f>
        <v>EXP</v>
      </c>
      <c r="F105" s="54" t="str">
        <f>VLOOKUP(A105,'Project List 2026'!B:I,8,0)</f>
        <v>Initiation</v>
      </c>
      <c r="G105" s="40" t="s">
        <v>533</v>
      </c>
      <c r="K105" s="11"/>
      <c r="L105" s="138"/>
      <c r="M105" s="11"/>
      <c r="N105" s="11"/>
      <c r="O105" s="11"/>
      <c r="P105" s="11"/>
      <c r="U105" s="49"/>
    </row>
    <row r="106" spans="1:27">
      <c r="A106" s="33" t="s">
        <v>392</v>
      </c>
      <c r="B106" s="53" t="str">
        <f>VLOOKUP('Project documentation'!A106,'Project List 2026'!B:E,2,0)</f>
        <v>Hosting</v>
      </c>
      <c r="C106" s="41" t="str">
        <f>VLOOKUP(A106,'Project List 2026'!B:I,4,0)</f>
        <v>Michel de Heij</v>
      </c>
      <c r="D106" s="41" t="str">
        <f>VLOOKUP(A106,'Project List 2026'!B:F,5,0)</f>
        <v>Internal</v>
      </c>
      <c r="E106" s="41" t="str">
        <f>VLOOKUP(A106,'Project List 2026'!B:L,11,0)</f>
        <v>ITS</v>
      </c>
      <c r="F106" s="54" t="str">
        <f>VLOOKUP(A106,'Project List 2026'!B:I,8,0)</f>
        <v>Initiation</v>
      </c>
      <c r="G106" s="139"/>
      <c r="K106" s="11"/>
      <c r="L106" s="138"/>
      <c r="M106" s="11"/>
      <c r="N106" s="11"/>
      <c r="O106" s="11"/>
      <c r="P106" s="11"/>
      <c r="U106" s="49"/>
    </row>
    <row r="107" spans="1:27" hidden="1">
      <c r="A107" t="s">
        <v>467</v>
      </c>
      <c r="B107" s="53" t="str">
        <f>VLOOKUP('Project documentation'!A107,'Project List 2026'!B:E,2,0)</f>
        <v>APAC</v>
      </c>
      <c r="C107" s="41" t="str">
        <f>VLOOKUP(A107,'Project List 2026'!B:I,4,0)</f>
        <v>Muthu Ramasamy</v>
      </c>
      <c r="D107" s="41" t="str">
        <f>VLOOKUP(A107,'Project List 2026'!B:F,5,0)</f>
        <v>External</v>
      </c>
      <c r="E107" s="41" t="str">
        <f>VLOOKUP(A107,'Project List 2026'!B:L,11,0)</f>
        <v>DGFF</v>
      </c>
      <c r="F107" s="54" t="str">
        <f>VLOOKUP(A107,'Project List 2026'!B:I,8,0)</f>
        <v>Ongoing</v>
      </c>
      <c r="G107" s="40" t="s">
        <v>545</v>
      </c>
      <c r="J107" s="40" t="s">
        <v>545</v>
      </c>
      <c r="K107" s="11" t="s">
        <v>533</v>
      </c>
      <c r="L107" s="11"/>
      <c r="M107" s="11" t="s">
        <v>545</v>
      </c>
      <c r="N107" s="11"/>
      <c r="O107" s="11"/>
      <c r="P107" s="11"/>
      <c r="U107" s="49"/>
    </row>
    <row r="108" spans="1:27" hidden="1">
      <c r="A108" t="s">
        <v>478</v>
      </c>
      <c r="B108" s="53" t="str">
        <f>VLOOKUP('Project documentation'!A108,'Project List 2026'!B:E,2,0)</f>
        <v>Telecoms</v>
      </c>
      <c r="C108" s="41" t="str">
        <f>VLOOKUP(A108,'Project List 2026'!B:I,4,0)</f>
        <v>Pavla Zidkova</v>
      </c>
      <c r="D108" s="41" t="str">
        <f>VLOOKUP(A108,'Project List 2026'!B:F,5,0)</f>
        <v>Internal</v>
      </c>
      <c r="E108" s="41" t="str">
        <f>VLOOKUP(A108,'Project List 2026'!B:L,11,0)</f>
        <v>ITS</v>
      </c>
      <c r="F108" s="54" t="str">
        <f>VLOOKUP(A108,'Project List 2026'!B:I,8,0)</f>
        <v>Initiation</v>
      </c>
      <c r="K108" s="11"/>
      <c r="L108" s="11"/>
      <c r="M108" s="11"/>
      <c r="N108" s="11"/>
      <c r="O108" s="11"/>
      <c r="P108" s="11"/>
    </row>
    <row r="109" spans="1:27" hidden="1">
      <c r="A109" s="136" t="s">
        <v>483</v>
      </c>
      <c r="B109" s="53" t="str">
        <f>VLOOKUP('Project documentation'!A109,'Project List 2026'!B:E,2,0)</f>
        <v>Telecoms</v>
      </c>
      <c r="C109" s="41" t="str">
        <f>VLOOKUP(A109,'Project List 2026'!B:I,4,0)</f>
        <v>Kirill Shabalkin</v>
      </c>
      <c r="D109" s="41" t="str">
        <f>VLOOKUP(A109,'Project List 2026'!B:F,5,0)</f>
        <v>Internal</v>
      </c>
      <c r="E109" s="41" t="str">
        <f>VLOOKUP(A109,'Project List 2026'!B:L,11,0)</f>
        <v>Multiple</v>
      </c>
      <c r="F109" s="54" t="str">
        <f>VLOOKUP(A109,'Project List 2026'!B:I,8,0)</f>
        <v>Ongoing</v>
      </c>
      <c r="K109" s="11"/>
      <c r="L109" s="11"/>
      <c r="M109" s="11"/>
      <c r="N109" s="11"/>
      <c r="O109" s="11"/>
      <c r="P109" s="11"/>
    </row>
    <row r="110" spans="1:27" hidden="1">
      <c r="A110" s="136" t="s">
        <v>484</v>
      </c>
      <c r="B110" s="53" t="e">
        <f>VLOOKUP('Project documentation'!A110,'Project List 2026'!B:E,2,0)</f>
        <v>#N/A</v>
      </c>
      <c r="C110" s="41" t="e">
        <f>VLOOKUP(A110,'Project List 2026'!B:I,4,0)</f>
        <v>#N/A</v>
      </c>
      <c r="D110" s="41" t="e">
        <f>VLOOKUP(A110,'Project List 2026'!B:F,5,0)</f>
        <v>#N/A</v>
      </c>
      <c r="E110" s="41" t="e">
        <f>VLOOKUP(A110,'Project List 2026'!B:L,11,0)</f>
        <v>#N/A</v>
      </c>
      <c r="F110" s="54" t="e">
        <f>VLOOKUP(A110,'Project List 2026'!B:I,8,0)</f>
        <v>#N/A</v>
      </c>
      <c r="K110" s="11"/>
      <c r="L110" s="11"/>
      <c r="M110" s="11"/>
      <c r="N110" s="11"/>
      <c r="O110" s="11"/>
      <c r="P110" s="11"/>
    </row>
    <row r="111" spans="1:27" hidden="1">
      <c r="A111" s="136" t="s">
        <v>487</v>
      </c>
      <c r="B111" s="53" t="str">
        <f>VLOOKUP('Project documentation'!A111,'Project List 2026'!B:E,2,0)</f>
        <v>Telecoms</v>
      </c>
      <c r="C111" s="41" t="str">
        <f>VLOOKUP(A111,'Project List 2026'!B:I,4,0)</f>
        <v>Alina Nosulych</v>
      </c>
      <c r="D111" s="41" t="str">
        <f>VLOOKUP(A111,'Project List 2026'!B:F,5,0)</f>
        <v>Internal</v>
      </c>
      <c r="E111" s="41" t="str">
        <f>VLOOKUP(A111,'Project List 2026'!B:L,11,0)</f>
        <v>Multiple</v>
      </c>
      <c r="F111" s="54" t="str">
        <f>VLOOKUP(A111,'Project List 2026'!B:I,8,0)</f>
        <v>Initiation</v>
      </c>
      <c r="K111" s="11"/>
      <c r="L111" s="11"/>
      <c r="M111" s="11"/>
      <c r="N111" s="11"/>
      <c r="O111" s="11"/>
      <c r="P111" s="11"/>
    </row>
    <row r="112" spans="1:27" hidden="1">
      <c r="A112" s="136" t="s">
        <v>489</v>
      </c>
      <c r="B112" s="53" t="str">
        <f>VLOOKUP('Project documentation'!A112,'Project List 2026'!B:E,2,0)</f>
        <v>APAC</v>
      </c>
      <c r="C112" s="41" t="str">
        <f>VLOOKUP(A112,'Project List 2026'!B:I,4,0)</f>
        <v>Ruthie Buenafe</v>
      </c>
      <c r="D112" s="41" t="str">
        <f>VLOOKUP(A112,'Project List 2026'!B:F,5,0)</f>
        <v>Internal</v>
      </c>
      <c r="E112" s="41" t="str">
        <f>VLOOKUP(A112,'Project List 2026'!B:L,11,0)</f>
        <v>ITS</v>
      </c>
      <c r="F112" s="54" t="str">
        <f>VLOOKUP(A112,'Project List 2026'!B:I,8,0)</f>
        <v>Ongoing</v>
      </c>
      <c r="K112" s="11"/>
      <c r="L112" s="11"/>
      <c r="M112" s="11"/>
      <c r="N112" s="11"/>
      <c r="O112" s="11"/>
      <c r="P112" s="11"/>
    </row>
    <row r="113" spans="1:16" hidden="1">
      <c r="A113" s="136" t="s">
        <v>490</v>
      </c>
      <c r="B113" s="53" t="str">
        <f>VLOOKUP('Project documentation'!A113,'Project List 2026'!B:E,2,0)</f>
        <v>APAC</v>
      </c>
      <c r="C113" s="41" t="str">
        <f>VLOOKUP(A113,'Project List 2026'!B:I,4,0)</f>
        <v>Ruthie Buenafe</v>
      </c>
      <c r="D113" s="41" t="str">
        <f>VLOOKUP(A113,'Project List 2026'!B:F,5,0)</f>
        <v>External</v>
      </c>
      <c r="E113" s="41" t="str">
        <f>VLOOKUP(A113,'Project List 2026'!B:L,11,0)</f>
        <v>ITS</v>
      </c>
      <c r="F113" s="54" t="str">
        <f>VLOOKUP(A113,'Project List 2026'!B:I,8,0)</f>
        <v>Ongoing</v>
      </c>
      <c r="K113" s="11"/>
      <c r="L113" s="11"/>
      <c r="M113" s="11"/>
      <c r="N113" s="11"/>
      <c r="O113" s="11"/>
      <c r="P113" s="11"/>
    </row>
    <row r="114" spans="1:16" hidden="1">
      <c r="A114" t="s">
        <v>492</v>
      </c>
      <c r="B114" s="53" t="str">
        <f>VLOOKUP('Project documentation'!A114,'Project List 2026'!B:E,2,0)</f>
        <v>Americas</v>
      </c>
      <c r="C114" s="41" t="str">
        <f>VLOOKUP(A114,'Project List 2026'!B:I,4,0)</f>
        <v>William Exham</v>
      </c>
      <c r="D114" s="41" t="str">
        <f>VLOOKUP(A114,'Project List 2026'!B:F,5,0)</f>
        <v>Internal</v>
      </c>
      <c r="E114" s="41" t="str">
        <f>VLOOKUP(A114,'Project List 2026'!B:L,11,0)</f>
        <v>ITS</v>
      </c>
      <c r="F114" s="54" t="str">
        <f>VLOOKUP(A114,'Project List 2026'!B:I,8,0)</f>
        <v>Ongoing</v>
      </c>
      <c r="G114" s="40" t="s">
        <v>533</v>
      </c>
      <c r="J114" s="40" t="s">
        <v>533</v>
      </c>
      <c r="K114" s="11" t="s">
        <v>533</v>
      </c>
      <c r="L114" s="11"/>
      <c r="M114" s="11"/>
      <c r="N114" s="11"/>
      <c r="O114" s="11"/>
      <c r="P114" s="11"/>
    </row>
    <row r="115" spans="1:16">
      <c r="A115" t="s">
        <v>493</v>
      </c>
      <c r="B115" s="53" t="str">
        <f>VLOOKUP('Project documentation'!A115,'Project List 2026'!B:E,2,0)</f>
        <v>Hosting</v>
      </c>
      <c r="C115" s="41" t="str">
        <f>VLOOKUP(A115,'Project List 2026'!B:I,4,0)</f>
        <v>Hana Kodatova</v>
      </c>
      <c r="D115" s="41" t="str">
        <f>VLOOKUP(A115,'Project List 2026'!B:F,5,0)</f>
        <v>Inernal</v>
      </c>
      <c r="E115" s="41" t="str">
        <f>VLOOKUP(A115,'Project List 2026'!B:L,11,0)</f>
        <v>ITS</v>
      </c>
      <c r="F115" s="54" t="str">
        <f>VLOOKUP(A115,'Project List 2026'!B:I,8,0)</f>
        <v>Initiation</v>
      </c>
      <c r="G115" s="139" t="s">
        <v>628</v>
      </c>
      <c r="K115" s="11"/>
      <c r="L115" s="138"/>
      <c r="M115" s="11"/>
      <c r="N115" s="11"/>
      <c r="O115" s="11"/>
      <c r="P115" s="11"/>
    </row>
    <row r="116" spans="1:16" hidden="1">
      <c r="A116" s="136" t="s">
        <v>496</v>
      </c>
      <c r="B116" s="53" t="str">
        <f>VLOOKUP('Project documentation'!A116,'Project List 2026'!B:E,2,0)</f>
        <v>Telecoms</v>
      </c>
      <c r="C116" s="41" t="str">
        <f>VLOOKUP(A116,'Project List 2026'!B:I,4,0)</f>
        <v>Zdenek Novotny</v>
      </c>
      <c r="D116" s="41" t="str">
        <f>VLOOKUP(A116,'Project List 2026'!B:F,5,0)</f>
        <v>Internal</v>
      </c>
      <c r="E116" s="41" t="str">
        <f>VLOOKUP(A116,'Project List 2026'!B:L,11,0)</f>
        <v>ITS</v>
      </c>
      <c r="F116" s="54" t="str">
        <f>VLOOKUP(A116,'Project List 2026'!B:I,8,0)</f>
        <v>Initiation</v>
      </c>
      <c r="K116" s="11"/>
      <c r="L116" s="11"/>
      <c r="M116" s="11"/>
      <c r="N116" s="11"/>
      <c r="O116" s="11"/>
      <c r="P116" s="11"/>
    </row>
    <row r="117" spans="1:16" hidden="1">
      <c r="A117" s="136" t="s">
        <v>498</v>
      </c>
      <c r="B117" s="53" t="str">
        <f>VLOOKUP('Project documentation'!A117,'Project List 2026'!B:E,2,0)</f>
        <v>Telecoms</v>
      </c>
      <c r="C117" s="41" t="str">
        <f>VLOOKUP(A117,'Project List 2026'!B:I,4,0)</f>
        <v>Zdenek Novotny</v>
      </c>
      <c r="D117" s="41" t="str">
        <f>VLOOKUP(A117,'Project List 2026'!B:F,5,0)</f>
        <v>External</v>
      </c>
      <c r="E117" s="41" t="str">
        <f>VLOOKUP(A117,'Project List 2026'!B:L,11,0)</f>
        <v>DSC</v>
      </c>
      <c r="F117" s="54" t="str">
        <f>VLOOKUP(A117,'Project List 2026'!B:I,8,0)</f>
        <v>Initiation</v>
      </c>
      <c r="K117" s="11"/>
      <c r="L117" s="11"/>
      <c r="M117" s="11"/>
      <c r="N117" s="11"/>
      <c r="O117" s="11"/>
      <c r="P117" s="11"/>
    </row>
    <row r="118" spans="1:16" hidden="1">
      <c r="A118" t="s">
        <v>474</v>
      </c>
      <c r="B118" s="53" t="str">
        <f>VLOOKUP('Project documentation'!A118,'Project List 2026'!B:E,2,0)</f>
        <v>Americas</v>
      </c>
      <c r="C118" s="41" t="str">
        <f>VLOOKUP(A118,'Project List 2026'!B:I,4,0)</f>
        <v>William Exham</v>
      </c>
      <c r="D118" s="41" t="str">
        <f>VLOOKUP(A118,'Project List 2026'!B:F,5,0)</f>
        <v>External</v>
      </c>
      <c r="E118" s="41" t="str">
        <f>VLOOKUP(A118,'Project List 2026'!B:L,11,0)</f>
        <v>EXP</v>
      </c>
      <c r="F118" s="54" t="str">
        <f>VLOOKUP(A118,'Project List 2026'!B:I,8,0)</f>
        <v>Ongoing</v>
      </c>
      <c r="G118" s="40" t="s">
        <v>533</v>
      </c>
      <c r="J118" s="40" t="s">
        <v>533</v>
      </c>
      <c r="K118" s="11" t="s">
        <v>533</v>
      </c>
      <c r="L118" s="11"/>
      <c r="M118" s="11"/>
      <c r="N118" s="11"/>
      <c r="O118" s="11"/>
      <c r="P118" s="11"/>
    </row>
    <row r="119" spans="1:16">
      <c r="A119" t="s">
        <v>794</v>
      </c>
      <c r="B119" s="53" t="str">
        <f>VLOOKUP('Project documentation'!A119,'Project List 2026'!B:E,2,0)</f>
        <v>Hosting</v>
      </c>
      <c r="C119" s="41" t="str">
        <f>VLOOKUP(A119,'Project List 2026'!B:I,4,0)</f>
        <v>Hana Sinska</v>
      </c>
      <c r="D119" s="41" t="str">
        <f>VLOOKUP(A119,'Project List 2026'!B:F,5,0)</f>
        <v>External</v>
      </c>
      <c r="E119" s="41" t="str">
        <f>VLOOKUP(A119,'Project List 2026'!B:L,11,0)</f>
        <v>DGFF</v>
      </c>
      <c r="F119" s="54" t="str">
        <f>VLOOKUP(A119,'Project List 2026'!B:I,8,0)</f>
        <v>Ongoing</v>
      </c>
      <c r="G119" s="138"/>
      <c r="K119" s="11" t="s">
        <v>533</v>
      </c>
      <c r="L119" s="11" t="s">
        <v>800</v>
      </c>
      <c r="M119" s="11"/>
      <c r="N119" s="11"/>
      <c r="O119" s="11"/>
      <c r="P119" s="11"/>
    </row>
    <row r="120" spans="1:16" hidden="1">
      <c r="A120" s="136" t="s">
        <v>499</v>
      </c>
      <c r="B120" s="53" t="str">
        <f>VLOOKUP('Project documentation'!A120,'Project List 2026'!B:E,2,0)</f>
        <v>APAC</v>
      </c>
      <c r="C120" s="41" t="str">
        <f>VLOOKUP(A120,'Project List 2026'!B:I,4,0)</f>
        <v>Saranyah Vairavan</v>
      </c>
      <c r="D120" s="41" t="str">
        <f>VLOOKUP(A120,'Project List 2026'!B:F,5,0)</f>
        <v>External</v>
      </c>
      <c r="E120" s="41" t="str">
        <f>VLOOKUP(A120,'Project List 2026'!B:L,11,0)</f>
        <v>DGFF</v>
      </c>
      <c r="F120" s="54" t="str">
        <f>VLOOKUP(A120,'Project List 2026'!B:I,8,0)</f>
        <v>Ongoing</v>
      </c>
      <c r="K120" s="40" t="s">
        <v>538</v>
      </c>
      <c r="L120" s="11"/>
      <c r="M120" s="11"/>
      <c r="N120" s="11"/>
      <c r="O120" s="11"/>
      <c r="P120" s="11"/>
    </row>
    <row r="121" spans="1:16">
      <c r="M121" s="11"/>
      <c r="N121" s="11"/>
      <c r="O121" s="11"/>
      <c r="P121" s="11"/>
    </row>
    <row r="122" spans="1:16">
      <c r="M122" s="11"/>
      <c r="N122" s="11"/>
      <c r="O122" s="11"/>
      <c r="P122" s="11"/>
    </row>
    <row r="123" spans="1:16">
      <c r="M123" s="11"/>
      <c r="N123" s="11"/>
      <c r="O123" s="11"/>
      <c r="P123" s="11"/>
    </row>
    <row r="124" spans="1:16">
      <c r="O124" s="11"/>
      <c r="P124" s="11"/>
    </row>
    <row r="125" spans="1:16">
      <c r="O125" s="11"/>
      <c r="P125" s="11"/>
    </row>
    <row r="126" spans="1:16">
      <c r="O126" s="11"/>
      <c r="P126" s="11"/>
    </row>
    <row r="127" spans="1:16">
      <c r="O127" s="11"/>
      <c r="P127" s="11"/>
    </row>
    <row r="128" spans="1:16">
      <c r="O128" s="11"/>
      <c r="P128" s="11"/>
    </row>
  </sheetData>
  <autoFilter ref="A1:AA120" xr:uid="{6D0A4D4A-AC8C-4AD0-8668-FBD62E45A06E}">
    <filterColumn colId="1">
      <filters>
        <filter val="Hosting"/>
      </filters>
    </filterColumn>
  </autoFilter>
  <hyperlinks>
    <hyperlink ref="G48" r:id="rId1" xr:uid="{97A1A188-476C-4C45-9DEC-016729D99F2E}"/>
  </hyperlinks>
  <pageMargins left="0.7" right="0.7" top="0.75" bottom="0.75" header="0.3" footer="0.3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144181C-3BF6-4230-82FD-492E29B8E057}">
          <x14:formula1>
            <xm:f>RefData!$J$3:$J$4</xm:f>
          </x14:formula1>
          <xm:sqref>K47:K82 H2:J2 K84:K86 G47:G86 G94:G102 K94:K119 L2 G30:G45 K30:K45 G92 K92 G2:G28 K2:K28 G119</xm:sqref>
        </x14:dataValidation>
        <x14:dataValidation type="list" allowBlank="1" showInputMessage="1" showErrorMessage="1" xr:uid="{CC155EB3-1DE1-4010-8C70-4EE481CBBDB5}">
          <x14:formula1>
            <xm:f>RefData!$G$3:$G$6</xm:f>
          </x14:formula1>
          <xm:sqref>J62 L54 M87:P88 M62:P62 M90:P91 M46:P46 G1 K29 G39:G47 J46:K46 J87:K88 J90:K91 K89 G49:G114 K93 G3:G37 G116:G1048576</xm:sqref>
        </x14:dataValidation>
        <x14:dataValidation type="list" allowBlank="1" showInputMessage="1" showErrorMessage="1" xr:uid="{46EE698A-694B-416B-9C95-3453A0CFB664}">
          <x14:formula1>
            <xm:f>RefData!$I$3:$I$6</xm:f>
          </x14:formula1>
          <xm:sqref>J92:J1048576 M54:Q54 J89 J1 J3:J45 J47:J61 J63:J86</xm:sqref>
        </x14:dataValidation>
        <x14:dataValidation type="list" allowBlank="1" showInputMessage="1" showErrorMessage="1" xr:uid="{9609842B-50EC-4170-91D0-F2678D839597}">
          <x14:formula1>
            <xm:f>RefData!$L$3:$L$6</xm:f>
          </x14:formula1>
          <xm:sqref>M41:N45 M92:N1048576 M55:N61 M89:N89 M1:M39 N2:N32 N34:N39 M47:N53 M63:N86</xm:sqref>
        </x14:dataValidation>
        <x14:dataValidation type="list" allowBlank="1" showInputMessage="1" showErrorMessage="1" xr:uid="{B974B087-DB20-4CD4-981B-4AC1213CEB9B}">
          <x14:formula1>
            <xm:f>RefData!$N$3:$N$6</xm:f>
          </x14:formula1>
          <xm:sqref>M40:N40 O89:P89 O55:P61 O92:P1048576 O1:O45 P2:P32 P34:P45 O47:P53 O63:P86</xm:sqref>
        </x14:dataValidation>
        <x14:dataValidation type="list" allowBlank="1" showInputMessage="1" showErrorMessage="1" xr:uid="{25CBB57E-8A82-4175-A101-27F9E474C7D1}">
          <x14:formula1>
            <xm:f>RefData!$G$3:$G$7</xm:f>
          </x14:formula1>
          <xm:sqref>G115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E9A9F-A03F-40E0-A419-6568D71CDA95}">
  <sheetPr>
    <tabColor theme="0" tint="-0.249977111117893"/>
  </sheetPr>
  <dimension ref="A1:Y136"/>
  <sheetViews>
    <sheetView topLeftCell="F1" zoomScale="60" zoomScaleNormal="60" workbookViewId="0">
      <pane ySplit="2" topLeftCell="A40" activePane="bottomLeft" state="frozen"/>
      <selection pane="bottomLeft" activeCell="T41" sqref="T41"/>
    </sheetView>
  </sheetViews>
  <sheetFormatPr baseColWidth="10" defaultColWidth="9.1640625" defaultRowHeight="14"/>
  <cols>
    <col min="1" max="1" width="16.5" style="73" customWidth="1"/>
    <col min="2" max="3" width="16.83203125" style="73" customWidth="1"/>
    <col min="4" max="4" width="24.1640625" style="73" customWidth="1"/>
    <col min="5" max="5" width="21.5" style="73" customWidth="1"/>
    <col min="6" max="6" width="42.5" style="73" customWidth="1"/>
    <col min="7" max="7" width="14" style="73" customWidth="1"/>
    <col min="8" max="8" width="24.83203125" style="99" customWidth="1"/>
    <col min="9" max="9" width="10.83203125" style="73" customWidth="1"/>
    <col min="10" max="12" width="12.5" style="73" customWidth="1"/>
    <col min="13" max="24" width="9.83203125" style="73" bestFit="1" customWidth="1"/>
    <col min="25" max="25" width="19.5" style="73" customWidth="1"/>
    <col min="26" max="16384" width="9.1640625" style="73"/>
  </cols>
  <sheetData>
    <row r="1" spans="1:25" ht="15">
      <c r="A1" s="69" t="s">
        <v>629</v>
      </c>
      <c r="B1" s="70" t="s">
        <v>629</v>
      </c>
      <c r="C1" s="70" t="s">
        <v>629</v>
      </c>
      <c r="D1" s="70" t="s">
        <v>629</v>
      </c>
      <c r="E1" s="71" t="s">
        <v>630</v>
      </c>
      <c r="F1" s="71" t="s">
        <v>630</v>
      </c>
      <c r="G1" s="70" t="s">
        <v>629</v>
      </c>
      <c r="H1" s="96" t="s">
        <v>629</v>
      </c>
      <c r="I1" s="71" t="s">
        <v>630</v>
      </c>
      <c r="J1" s="70" t="s">
        <v>629</v>
      </c>
      <c r="K1" s="70" t="s">
        <v>629</v>
      </c>
      <c r="L1" s="70" t="s">
        <v>629</v>
      </c>
      <c r="M1" s="146" t="s">
        <v>631</v>
      </c>
      <c r="N1" s="146"/>
      <c r="O1" s="146"/>
      <c r="P1" s="146"/>
      <c r="Q1" s="146"/>
      <c r="R1" s="146"/>
      <c r="S1" s="146" t="s">
        <v>631</v>
      </c>
      <c r="T1" s="147"/>
      <c r="U1" s="147"/>
      <c r="V1" s="147"/>
      <c r="W1" s="147"/>
      <c r="X1" s="147"/>
      <c r="Y1" s="72" t="s">
        <v>629</v>
      </c>
    </row>
    <row r="2" spans="1:25" ht="15">
      <c r="A2" s="74" t="s">
        <v>632</v>
      </c>
      <c r="B2" s="75" t="s">
        <v>633</v>
      </c>
      <c r="C2" s="75" t="s">
        <v>634</v>
      </c>
      <c r="D2" s="75" t="s">
        <v>635</v>
      </c>
      <c r="E2" s="75" t="s">
        <v>636</v>
      </c>
      <c r="F2" s="75" t="s">
        <v>0</v>
      </c>
      <c r="G2" s="75" t="s">
        <v>511</v>
      </c>
      <c r="H2" s="97" t="s">
        <v>637</v>
      </c>
      <c r="I2" s="75" t="s">
        <v>638</v>
      </c>
      <c r="J2" s="75" t="s">
        <v>639</v>
      </c>
      <c r="K2" s="75" t="s">
        <v>8</v>
      </c>
      <c r="L2" s="75" t="s">
        <v>640</v>
      </c>
      <c r="M2" s="76" t="s">
        <v>641</v>
      </c>
      <c r="N2" s="77" t="s">
        <v>642</v>
      </c>
      <c r="O2" s="77" t="s">
        <v>643</v>
      </c>
      <c r="P2" s="76" t="s">
        <v>644</v>
      </c>
      <c r="Q2" s="77" t="s">
        <v>645</v>
      </c>
      <c r="R2" s="77" t="s">
        <v>646</v>
      </c>
      <c r="S2" s="76" t="s">
        <v>647</v>
      </c>
      <c r="T2" s="77" t="s">
        <v>648</v>
      </c>
      <c r="U2" s="77" t="s">
        <v>649</v>
      </c>
      <c r="V2" s="76" t="s">
        <v>650</v>
      </c>
      <c r="W2" s="77" t="s">
        <v>651</v>
      </c>
      <c r="X2" s="77" t="s">
        <v>652</v>
      </c>
      <c r="Y2" s="78" t="s">
        <v>653</v>
      </c>
    </row>
    <row r="3" spans="1:25" customFormat="1" ht="15">
      <c r="A3" s="18" t="str">
        <f>IF(F3=""," ",VLOOKUP(F3,'Project List 2026'!A:J,3,0))</f>
        <v>Telecoms</v>
      </c>
      <c r="B3" s="18" t="str">
        <f>IF(F3=""," ",VLOOKUP(F3,'Project List 2026'!A:N,4,0))</f>
        <v>Others</v>
      </c>
      <c r="C3" s="16" t="str">
        <f>IF(F3=""," ",VLOOKUP(E3,RefData!AG:AH,2,FALSE))</f>
        <v>Telecoms</v>
      </c>
      <c r="D3" s="18" t="str">
        <f>IF(F3=""," ",VLOOKUP(F3,'Project List 2026'!A:J,5,0))</f>
        <v>Alina Nosulych</v>
      </c>
      <c r="E3" t="s">
        <v>20</v>
      </c>
      <c r="F3" s="60" t="s">
        <v>16</v>
      </c>
      <c r="G3" s="18" t="str">
        <f>IF(F3=""," ",VLOOKUP(F3,'Project List 2026'!A:J,6,0))</f>
        <v>Internal</v>
      </c>
      <c r="H3" s="98">
        <f>IF(F3="","",VLOOKUP(F3,'Project List 2026'!A:H,8,0))</f>
        <v>89100298</v>
      </c>
      <c r="J3" s="18">
        <f>IF(F3=""," ",VLOOKUP(F3,'Project List 2026'!A:O,15,0))</f>
        <v>0</v>
      </c>
      <c r="K3" s="18" t="str">
        <f>IF(F3=""," ",VLOOKUP(F3,'Project List 2026'!A:T,9,0))</f>
        <v>Ongoing</v>
      </c>
      <c r="L3" s="101">
        <f>IF(F3=""," ",VLOOKUP(F3,'Project List 2026'!A:N,14,0))</f>
        <v>1</v>
      </c>
      <c r="M3" s="1"/>
      <c r="N3" s="1"/>
      <c r="O3" s="1"/>
      <c r="P3" s="1">
        <v>0.2</v>
      </c>
      <c r="Q3" s="1">
        <v>0.2</v>
      </c>
      <c r="R3" s="1">
        <v>0.2</v>
      </c>
      <c r="Y3" s="18" t="str">
        <f>IF(ISNA(VLOOKUP(F3,'Project List 2026'!A:A,1,FALSE)), "No", "Yes")</f>
        <v>Yes</v>
      </c>
    </row>
    <row r="4" spans="1:25" customFormat="1" ht="15">
      <c r="A4" s="18" t="str">
        <f>IF(F4=""," ",VLOOKUP(F4,'Project List 2026'!A:J,3,0))</f>
        <v>Telecoms</v>
      </c>
      <c r="B4" s="18" t="str">
        <f>IF(F4=""," ",VLOOKUP(F4,'Project List 2026'!A:N,4,0))</f>
        <v>Telecoms</v>
      </c>
      <c r="C4" s="16" t="str">
        <f>IF(F4=""," ",VLOOKUP(E4,RefData!AG:AH,2,FALSE))</f>
        <v>Telecoms</v>
      </c>
      <c r="D4" s="18" t="str">
        <f>IF(F4=""," ",VLOOKUP(F4,'Project List 2026'!A:J,5,0))</f>
        <v>Alina Nosulych</v>
      </c>
      <c r="E4" t="s">
        <v>20</v>
      </c>
      <c r="F4" s="60" t="s">
        <v>26</v>
      </c>
      <c r="G4" s="18" t="str">
        <f>IF(F4=""," ",VLOOKUP(F4,'Project List 2026'!A:J,6,0))</f>
        <v>Internal</v>
      </c>
      <c r="H4" s="98" t="str">
        <f>IF(F4="","",VLOOKUP(F4,'Project List 2026'!A:H,8,0))</f>
        <v> 87101386</v>
      </c>
      <c r="J4" s="18">
        <f>IF(F4=""," ",VLOOKUP(F4,'Project List 2026'!A:O,15,0))</f>
        <v>0</v>
      </c>
      <c r="K4" s="18" t="str">
        <f>IF(F4=""," ",VLOOKUP(F4,'Project List 2026'!A:T,9,0))</f>
        <v>Ongoing</v>
      </c>
      <c r="L4" s="101">
        <f>IF(F4=""," ",VLOOKUP(F4,'Project List 2026'!A:N,14,0))</f>
        <v>1</v>
      </c>
      <c r="M4" s="1">
        <v>0.4</v>
      </c>
      <c r="N4" s="1">
        <v>0.4</v>
      </c>
      <c r="O4" s="1">
        <v>0.4</v>
      </c>
      <c r="P4" s="1">
        <v>0.4</v>
      </c>
      <c r="Q4" s="1">
        <v>0.4</v>
      </c>
      <c r="R4" s="1">
        <v>0.4</v>
      </c>
      <c r="S4" s="1">
        <v>0.4</v>
      </c>
      <c r="T4" s="1">
        <v>0.4</v>
      </c>
      <c r="U4" s="1">
        <v>0.4</v>
      </c>
      <c r="V4" s="1">
        <v>0.4</v>
      </c>
      <c r="W4" s="1">
        <v>0.4</v>
      </c>
      <c r="Y4" s="18" t="str">
        <f>IF(ISNA(VLOOKUP(F4,'Project List 2026'!A:A,1,FALSE)), "No", "Yes")</f>
        <v>Yes</v>
      </c>
    </row>
    <row r="5" spans="1:25" customFormat="1" ht="15">
      <c r="A5" s="18" t="str">
        <f>IF(F5=""," ",VLOOKUP(F5,'Project List 2026'!A:J,3,0))</f>
        <v>Telecoms</v>
      </c>
      <c r="B5" s="18" t="str">
        <f>IF(F5=""," ",VLOOKUP(F5,'Project List 2026'!A:N,4,0))</f>
        <v>Telecoms</v>
      </c>
      <c r="C5" s="16" t="str">
        <f>IF(F5=""," ",VLOOKUP(E5,RefData!AG:AH,2,FALSE))</f>
        <v>Telecoms</v>
      </c>
      <c r="D5" s="18" t="str">
        <f>IF(F5=""," ",VLOOKUP(F5,'Project List 2026'!A:J,5,0))</f>
        <v>Alina Nosulych</v>
      </c>
      <c r="E5" t="s">
        <v>20</v>
      </c>
      <c r="F5" s="60" t="s">
        <v>30</v>
      </c>
      <c r="G5" s="18" t="str">
        <f>IF(F5=""," ",VLOOKUP(F5,'Project List 2026'!A:J,6,0))</f>
        <v>Internal</v>
      </c>
      <c r="H5" s="98">
        <f>IF(F5="","",VLOOKUP(F5,'Project List 2026'!A:H,8,0))</f>
        <v>89100298</v>
      </c>
      <c r="J5" s="18">
        <f>IF(F5=""," ",VLOOKUP(F5,'Project List 2026'!A:O,15,0))</f>
        <v>0</v>
      </c>
      <c r="K5" s="18" t="str">
        <f>IF(F5=""," ",VLOOKUP(F5,'Project List 2026'!A:T,9,0))</f>
        <v>Completed</v>
      </c>
      <c r="L5" s="101">
        <f>IF(F5=""," ",VLOOKUP(F5,'Project List 2026'!A:N,14,0))</f>
        <v>1</v>
      </c>
      <c r="M5" s="1"/>
      <c r="N5" s="1">
        <v>0.2</v>
      </c>
      <c r="O5" s="1">
        <v>0.2</v>
      </c>
      <c r="P5" s="1">
        <v>0.2</v>
      </c>
      <c r="Y5" s="18" t="str">
        <f>IF(ISNA(VLOOKUP(F5,'Project List 2026'!A:A,1,FALSE)), "No", "Yes")</f>
        <v>Yes</v>
      </c>
    </row>
    <row r="6" spans="1:25" customFormat="1" ht="15">
      <c r="A6" s="18" t="str">
        <f>IF(F6=""," ",VLOOKUP(F6,'Project List 2026'!A:J,3,0))</f>
        <v>Telecoms</v>
      </c>
      <c r="B6" s="18" t="str">
        <f>IF(F6=""," ",VLOOKUP(F6,'Project List 2026'!A:N,4,0))</f>
        <v>Telecoms</v>
      </c>
      <c r="C6" s="16" t="str">
        <f>IF(F6=""," ",VLOOKUP(E6,RefData!AG:AH,2,FALSE))</f>
        <v>Telecoms</v>
      </c>
      <c r="D6" s="18" t="str">
        <f>IF(F6=""," ",VLOOKUP(F6,'Project List 2026'!A:J,5,0))</f>
        <v>Alina Nosulych</v>
      </c>
      <c r="E6" t="s">
        <v>20</v>
      </c>
      <c r="F6" s="7" t="s">
        <v>33</v>
      </c>
      <c r="G6" s="18" t="str">
        <f>IF(F6=""," ",VLOOKUP(F6,'Project List 2026'!A:J,6,0))</f>
        <v>Internal</v>
      </c>
      <c r="H6" s="98">
        <f>IF(F6="","",VLOOKUP(F6,'Project List 2026'!A:H,8,0))</f>
        <v>89100536</v>
      </c>
      <c r="J6" s="18">
        <f>IF(F6=""," ",VLOOKUP(F6,'Project List 2026'!A:O,15,0))</f>
        <v>0</v>
      </c>
      <c r="K6" s="18" t="str">
        <f>IF(F6=""," ",VLOOKUP(F6,'Project List 2026'!A:T,9,0))</f>
        <v>Completed</v>
      </c>
      <c r="L6" s="101">
        <f>IF(F6=""," ",VLOOKUP(F6,'Project List 2026'!A:N,14,0))</f>
        <v>1</v>
      </c>
      <c r="M6" s="1">
        <v>0.2</v>
      </c>
      <c r="N6" s="1">
        <v>0.2</v>
      </c>
      <c r="O6" s="1">
        <v>0.2</v>
      </c>
      <c r="P6" s="1">
        <v>0.2</v>
      </c>
      <c r="Y6" s="18" t="str">
        <f>IF(ISNA(VLOOKUP(F6,'Project List 2026'!A:A,1,FALSE)), "No", "Yes")</f>
        <v>Yes</v>
      </c>
    </row>
    <row r="7" spans="1:25" customFormat="1" ht="15">
      <c r="A7" s="18" t="str">
        <f>IF(F7=""," ",VLOOKUP(F7,'Project List 2026'!A:J,3,0))</f>
        <v>Telecoms</v>
      </c>
      <c r="B7" s="18" t="str">
        <f>IF(F7=""," ",VLOOKUP(F7,'Project List 2026'!A:N,4,0))</f>
        <v>Telecoms</v>
      </c>
      <c r="C7" s="16" t="str">
        <f>IF(F7=""," ",VLOOKUP(E7,RefData!AG:AH,2,FALSE))</f>
        <v>Telecoms</v>
      </c>
      <c r="D7" s="18" t="str">
        <f>IF(F7=""," ",VLOOKUP(F7,'Project List 2026'!A:J,5,0))</f>
        <v>Alina Nosulych</v>
      </c>
      <c r="E7" t="s">
        <v>20</v>
      </c>
      <c r="F7" t="s">
        <v>37</v>
      </c>
      <c r="G7" s="18" t="str">
        <f>IF(F7=""," ",VLOOKUP(F7,'Project List 2026'!A:J,6,0))</f>
        <v>Internal</v>
      </c>
      <c r="H7" s="98">
        <f>IF(F7="","",VLOOKUP(F7,'Project List 2026'!A:H,8,0))</f>
        <v>88100313</v>
      </c>
      <c r="J7" s="18">
        <f>IF(F7=""," ",VLOOKUP(F7,'Project List 2026'!A:O,15,0))</f>
        <v>0</v>
      </c>
      <c r="K7" s="18" t="str">
        <f>IF(F7=""," ",VLOOKUP(F7,'Project List 2026'!A:T,9,0))</f>
        <v>Ongoing</v>
      </c>
      <c r="L7" s="101">
        <f>IF(F7=""," ",VLOOKUP(F7,'Project List 2026'!A:N,14,0))</f>
        <v>1</v>
      </c>
      <c r="M7" s="1">
        <v>0.05</v>
      </c>
      <c r="N7" s="1">
        <v>0.05</v>
      </c>
      <c r="O7" s="1">
        <v>0.05</v>
      </c>
      <c r="P7" s="1">
        <v>0.05</v>
      </c>
      <c r="Q7" s="1">
        <v>0.05</v>
      </c>
      <c r="R7" s="1">
        <v>0.05</v>
      </c>
      <c r="S7" s="1">
        <v>0.05</v>
      </c>
      <c r="T7" s="1">
        <v>0.05</v>
      </c>
      <c r="U7" s="1">
        <v>0.05</v>
      </c>
      <c r="V7" s="1">
        <v>0.05</v>
      </c>
      <c r="W7" s="1">
        <v>0.05</v>
      </c>
      <c r="Y7" s="18" t="str">
        <f>IF(ISNA(VLOOKUP(F7,'Project List 2026'!A:A,1,FALSE)), "No", "Yes")</f>
        <v>Yes</v>
      </c>
    </row>
    <row r="8" spans="1:25" customFormat="1" ht="15">
      <c r="A8" s="18" t="str">
        <f>IF(F8=""," ",VLOOKUP(F8,'Project List 2026'!A:J,3,0))</f>
        <v>Telecoms</v>
      </c>
      <c r="B8" s="18" t="str">
        <f>IF(F8=""," ",VLOOKUP(F8,'Project List 2026'!A:N,4,0))</f>
        <v>Telecoms</v>
      </c>
      <c r="C8" s="16" t="str">
        <f>IF(F8=""," ",VLOOKUP(E8,RefData!AG:AH,2,FALSE))</f>
        <v>Telecoms</v>
      </c>
      <c r="D8" s="18" t="str">
        <f>IF(F8=""," ",VLOOKUP(F8,'Project List 2026'!A:J,5,0))</f>
        <v>Andrea Stratilova</v>
      </c>
      <c r="E8" t="s">
        <v>43</v>
      </c>
      <c r="F8" s="7" t="s">
        <v>41</v>
      </c>
      <c r="G8" s="18" t="str">
        <f>IF(F8=""," ",VLOOKUP(F8,'Project List 2026'!A:J,6,0))</f>
        <v>Internal</v>
      </c>
      <c r="H8" s="98">
        <f>IF(F8="","",VLOOKUP(F8,'Project List 2026'!A:H,8,0))</f>
        <v>89101258</v>
      </c>
      <c r="J8" s="18">
        <f>IF(F8=""," ",VLOOKUP(F8,'Project List 2026'!A:O,15,0))</f>
        <v>294645</v>
      </c>
      <c r="K8" s="18" t="str">
        <f>IF(F8=""," ",VLOOKUP(F8,'Project List 2026'!A:T,9,0))</f>
        <v>Ongoing</v>
      </c>
      <c r="L8" s="101">
        <f>IF(F8=""," ",VLOOKUP(F8,'Project List 2026'!A:N,14,0))</f>
        <v>1</v>
      </c>
      <c r="M8" s="1">
        <v>0.3</v>
      </c>
      <c r="N8" s="1">
        <v>0.3</v>
      </c>
      <c r="O8" s="1">
        <v>0.3</v>
      </c>
      <c r="P8" s="1">
        <v>0.3</v>
      </c>
      <c r="Q8" s="1">
        <v>0.3</v>
      </c>
      <c r="R8" s="1">
        <v>0.3</v>
      </c>
      <c r="S8" s="1">
        <v>0.3</v>
      </c>
      <c r="T8" s="1">
        <v>0.3</v>
      </c>
      <c r="U8" s="1">
        <v>0.3</v>
      </c>
      <c r="V8" s="1">
        <v>0.3</v>
      </c>
      <c r="W8" s="1">
        <v>0.3</v>
      </c>
      <c r="X8" s="1">
        <v>0.3</v>
      </c>
      <c r="Y8" s="18" t="str">
        <f>IF(ISNA(VLOOKUP(F8,'Project List 2026'!A:A,1,FALSE)), "No", "Yes")</f>
        <v>Yes</v>
      </c>
    </row>
    <row r="9" spans="1:25" customFormat="1" ht="15">
      <c r="A9" s="18" t="str">
        <f>IF(F9=""," ",VLOOKUP(F9,'Project List 2026'!A:J,3,0))</f>
        <v>Telecoms</v>
      </c>
      <c r="B9" s="18" t="str">
        <f>IF(F9=""," ",VLOOKUP(F9,'Project List 2026'!A:N,4,0))</f>
        <v>Telecoms</v>
      </c>
      <c r="C9" s="16" t="str">
        <f>IF(F9=""," ",VLOOKUP(E9,RefData!AG:AH,2,FALSE))</f>
        <v>Telecoms</v>
      </c>
      <c r="D9" s="18" t="str">
        <f>IF(F9=""," ",VLOOKUP(F9,'Project List 2026'!A:J,5,0))</f>
        <v>Andrea Stratilova</v>
      </c>
      <c r="E9" t="s">
        <v>43</v>
      </c>
      <c r="F9" t="s">
        <v>44</v>
      </c>
      <c r="G9" s="18" t="str">
        <f>IF(F9=""," ",VLOOKUP(F9,'Project List 2026'!A:J,6,0))</f>
        <v>Internal</v>
      </c>
      <c r="H9" s="98" t="str">
        <f>IF(F9="","",VLOOKUP(F9,'Project List 2026'!A:H,8,0))</f>
        <v>89100787, 89100999</v>
      </c>
      <c r="J9" s="18">
        <f>IF(F9=""," ",VLOOKUP(F9,'Project List 2026'!A:O,15,0))</f>
        <v>0</v>
      </c>
      <c r="K9" s="18" t="str">
        <f>IF(F9=""," ",VLOOKUP(F9,'Project List 2026'!A:T,9,0))</f>
        <v>Ongoing</v>
      </c>
      <c r="L9" s="101">
        <f>IF(F9=""," ",VLOOKUP(F9,'Project List 2026'!A:N,14,0))</f>
        <v>1</v>
      </c>
      <c r="M9" s="17">
        <v>0.05</v>
      </c>
      <c r="N9" s="17">
        <v>0.05</v>
      </c>
      <c r="O9" s="17">
        <v>0.05</v>
      </c>
      <c r="P9" s="17">
        <v>0.05</v>
      </c>
      <c r="Q9" s="17">
        <v>0.05</v>
      </c>
      <c r="R9" s="17">
        <v>0.05</v>
      </c>
      <c r="S9" s="17">
        <v>0.05</v>
      </c>
      <c r="T9" s="17">
        <v>0.05</v>
      </c>
      <c r="U9" s="17">
        <v>0.05</v>
      </c>
      <c r="V9" s="17">
        <v>0.05</v>
      </c>
      <c r="W9" s="17">
        <v>0.05</v>
      </c>
      <c r="X9" s="17">
        <v>0.05</v>
      </c>
      <c r="Y9" s="18" t="str">
        <f>IF(ISNA(VLOOKUP(F9,'Project List 2026'!A:A,1,FALSE)), "No", "Yes")</f>
        <v>Yes</v>
      </c>
    </row>
    <row r="10" spans="1:25" customFormat="1" ht="15">
      <c r="A10" s="18" t="str">
        <f>IF(F10=""," ",VLOOKUP(F10,'Project List 2026'!A:J,3,0))</f>
        <v>APAC</v>
      </c>
      <c r="B10" s="18" t="str">
        <f>IF(F10=""," ",VLOOKUP(F10,'Project List 2026'!A:N,4,0))</f>
        <v>SEF</v>
      </c>
      <c r="C10" s="16" t="str">
        <f>IF(F10=""," ",VLOOKUP(E10,RefData!AG:AH,2,FALSE))</f>
        <v>Telecoms</v>
      </c>
      <c r="D10" s="18" t="str">
        <f>IF(F10=""," ",VLOOKUP(F10,'Project List 2026'!A:J,5,0))</f>
        <v>Daniel Lai</v>
      </c>
      <c r="E10" t="s">
        <v>43</v>
      </c>
      <c r="F10" t="s">
        <v>80</v>
      </c>
      <c r="G10" s="18" t="str">
        <f>IF(F10=""," ",VLOOKUP(F10,'Project List 2026'!A:J,6,0))</f>
        <v>Internal</v>
      </c>
      <c r="H10" s="98">
        <f>IF(F10="","",VLOOKUP(F10,'Project List 2026'!A:H,8,0))</f>
        <v>87002033</v>
      </c>
      <c r="J10" s="18">
        <f>IF(F10=""," ",VLOOKUP(F10,'Project List 2026'!A:O,15,0))</f>
        <v>1420000</v>
      </c>
      <c r="K10" s="18" t="str">
        <f>IF(F10=""," ",VLOOKUP(F10,'Project List 2026'!A:T,9,0))</f>
        <v>Ongoing</v>
      </c>
      <c r="L10" s="101">
        <f>IF(F10=""," ",VLOOKUP(F10,'Project List 2026'!A:N,14,0))</f>
        <v>1</v>
      </c>
      <c r="M10" s="1">
        <v>0.1</v>
      </c>
      <c r="N10" s="1">
        <v>0.1</v>
      </c>
      <c r="O10" s="1">
        <v>0.1</v>
      </c>
      <c r="P10" s="1">
        <v>0.1</v>
      </c>
      <c r="Q10" s="1">
        <v>0.1</v>
      </c>
      <c r="R10" s="1">
        <v>0.1</v>
      </c>
      <c r="S10" s="1">
        <v>0.1</v>
      </c>
      <c r="T10" s="1">
        <v>0.1</v>
      </c>
      <c r="Y10" s="18" t="str">
        <f>IF(ISNA(VLOOKUP(F10,'Project List 2026'!A:A,1,FALSE)), "No", "Yes")</f>
        <v>Yes</v>
      </c>
    </row>
    <row r="11" spans="1:25" customFormat="1" ht="15">
      <c r="A11" s="18" t="str">
        <f>IF(F11=""," ",VLOOKUP(F11,'Project List 2026'!A:J,3,0))</f>
        <v>Telecoms</v>
      </c>
      <c r="B11" s="18" t="str">
        <f>IF(F11=""," ",VLOOKUP(F11,'Project List 2026'!A:N,4,0))</f>
        <v>Telecoms</v>
      </c>
      <c r="C11" s="16" t="str">
        <f>IF(F11=""," ",VLOOKUP(E11,RefData!AG:AH,2,FALSE))</f>
        <v>Telecoms</v>
      </c>
      <c r="D11" s="18" t="str">
        <f>IF(F11=""," ",VLOOKUP(F11,'Project List 2026'!A:J,5,0))</f>
        <v>Andrea Stratilova</v>
      </c>
      <c r="E11" t="s">
        <v>43</v>
      </c>
      <c r="F11" t="s">
        <v>47</v>
      </c>
      <c r="G11" s="18" t="str">
        <f>IF(F11=""," ",VLOOKUP(F11,'Project List 2026'!A:J,6,0))</f>
        <v>Internal</v>
      </c>
      <c r="H11" s="98" t="str">
        <f>IF(F11="","",VLOOKUP(F11,'Project List 2026'!A:H,8,0))</f>
        <v>88100294, 88100275, 89100826, 89101130</v>
      </c>
      <c r="J11" s="18">
        <f>IF(F11=""," ",VLOOKUP(F11,'Project List 2026'!A:O,15,0))</f>
        <v>0</v>
      </c>
      <c r="K11" s="18" t="str">
        <f>IF(F11=""," ",VLOOKUP(F11,'Project List 2026'!A:T,9,0))</f>
        <v>Ongoing</v>
      </c>
      <c r="L11" s="101">
        <f>IF(F11=""," ",VLOOKUP(F11,'Project List 2026'!A:N,14,0))</f>
        <v>1</v>
      </c>
      <c r="M11" s="1">
        <v>0.02</v>
      </c>
      <c r="N11" s="1">
        <v>0.02</v>
      </c>
      <c r="O11" s="1">
        <v>0.02</v>
      </c>
      <c r="P11" s="1">
        <v>0.02</v>
      </c>
      <c r="Q11" s="1">
        <v>0.02</v>
      </c>
      <c r="R11" s="1">
        <v>0.02</v>
      </c>
      <c r="S11" s="1">
        <v>0.02</v>
      </c>
      <c r="T11" s="1">
        <v>0.02</v>
      </c>
      <c r="U11" s="1">
        <v>0.02</v>
      </c>
      <c r="V11" s="1">
        <v>0.02</v>
      </c>
      <c r="W11" s="1">
        <v>0.02</v>
      </c>
      <c r="Y11" s="18" t="str">
        <f>IF(ISNA(VLOOKUP(F11,'Project List 2026'!A:A,1,FALSE)), "No", "Yes")</f>
        <v>Yes</v>
      </c>
    </row>
    <row r="12" spans="1:25" customFormat="1" ht="15">
      <c r="A12" s="18" t="str">
        <f>IF(F12=""," ",VLOOKUP(F12,'Project List 2026'!A:J,3,0))</f>
        <v>APAC</v>
      </c>
      <c r="B12" s="18" t="str">
        <f>IF(F12=""," ",VLOOKUP(F12,'Project List 2026'!A:N,4,0))</f>
        <v>SEF</v>
      </c>
      <c r="C12" s="16" t="str">
        <f>IF(F12=""," ",VLOOKUP(E12,RefData!AG:AH,2,FALSE))</f>
        <v>Telecoms-APAC</v>
      </c>
      <c r="D12" s="18" t="str">
        <f>IF(F12=""," ",VLOOKUP(F12,'Project List 2026'!A:J,5,0))</f>
        <v>Daniel Lai</v>
      </c>
      <c r="E12" t="s">
        <v>79</v>
      </c>
      <c r="F12" s="7" t="s">
        <v>76</v>
      </c>
      <c r="G12" s="18" t="str">
        <f>IF(F12=""," ",VLOOKUP(F12,'Project List 2026'!A:J,6,0))</f>
        <v>Internal</v>
      </c>
      <c r="H12" s="98">
        <f>IF(F12="","",VLOOKUP(F12,'Project List 2026'!A:H,8,0))</f>
        <v>87101375</v>
      </c>
      <c r="J12" s="18">
        <f>IF(F12=""," ",VLOOKUP(F12,'Project List 2026'!A:O,15,0))</f>
        <v>533000</v>
      </c>
      <c r="K12" s="18" t="str">
        <f>IF(F12=""," ",VLOOKUP(F12,'Project List 2026'!A:T,9,0))</f>
        <v>Completed</v>
      </c>
      <c r="L12" s="101">
        <f>IF(F12=""," ",VLOOKUP(F12,'Project List 2026'!A:N,14,0))</f>
        <v>1</v>
      </c>
      <c r="M12" s="17">
        <v>0.25</v>
      </c>
      <c r="N12" s="17">
        <v>0.25</v>
      </c>
      <c r="O12" s="17">
        <v>0.25</v>
      </c>
      <c r="Y12" s="18" t="str">
        <f>IF(ISNA(VLOOKUP(F12,'Project List 2026'!A:A,1,FALSE)), "No", "Yes")</f>
        <v>Yes</v>
      </c>
    </row>
    <row r="13" spans="1:25" customFormat="1" ht="15">
      <c r="A13" s="18" t="str">
        <f>IF(F13=""," ",VLOOKUP(F13,'Project List 2026'!A:J,3,0))</f>
        <v>APAC</v>
      </c>
      <c r="B13" s="18" t="str">
        <f>IF(F13=""," ",VLOOKUP(F13,'Project List 2026'!A:N,4,0))</f>
        <v>SEF</v>
      </c>
      <c r="C13" s="16" t="str">
        <f>IF(F13=""," ",VLOOKUP(E13,RefData!AG:AH,2,FALSE))</f>
        <v>Telecoms-APAC</v>
      </c>
      <c r="D13" s="18" t="str">
        <f>IF(F13=""," ",VLOOKUP(F13,'Project List 2026'!A:J,5,0))</f>
        <v>Daniel Lai</v>
      </c>
      <c r="E13" t="s">
        <v>79</v>
      </c>
      <c r="F13" s="7" t="s">
        <v>80</v>
      </c>
      <c r="G13" s="18" t="str">
        <f>IF(F13=""," ",VLOOKUP(F13,'Project List 2026'!A:J,6,0))</f>
        <v>Internal</v>
      </c>
      <c r="H13" s="98">
        <f>IF(F13="","",VLOOKUP(F13,'Project List 2026'!A:H,8,0))</f>
        <v>87002033</v>
      </c>
      <c r="J13" s="18">
        <f>IF(F13=""," ",VLOOKUP(F13,'Project List 2026'!A:O,15,0))</f>
        <v>1420000</v>
      </c>
      <c r="K13" s="18" t="str">
        <f>IF(F13=""," ",VLOOKUP(F13,'Project List 2026'!A:T,9,0))</f>
        <v>Ongoing</v>
      </c>
      <c r="L13" s="101">
        <f>IF(F13=""," ",VLOOKUP(F13,'Project List 2026'!A:N,14,0))</f>
        <v>1</v>
      </c>
      <c r="M13" s="17">
        <v>0.5</v>
      </c>
      <c r="N13" s="17">
        <v>0.5</v>
      </c>
      <c r="O13" s="17">
        <v>0.5</v>
      </c>
      <c r="P13" s="17">
        <v>0.5</v>
      </c>
      <c r="Q13" s="17">
        <v>0.5</v>
      </c>
      <c r="R13" s="17">
        <v>0.5</v>
      </c>
      <c r="S13" s="17">
        <v>0.5</v>
      </c>
      <c r="T13" s="17">
        <v>0.5</v>
      </c>
      <c r="U13" s="17">
        <v>0.5</v>
      </c>
      <c r="V13" s="17">
        <v>0.5</v>
      </c>
      <c r="W13" s="17">
        <v>0.5</v>
      </c>
      <c r="X13" s="17">
        <v>0.5</v>
      </c>
      <c r="Y13" s="18" t="str">
        <f>IF(ISNA(VLOOKUP(F13,'Project List 2026'!A:A,1,FALSE)), "No", "Yes")</f>
        <v>Yes</v>
      </c>
    </row>
    <row r="14" spans="1:25" customFormat="1" ht="15">
      <c r="A14" s="18" t="str">
        <f>IF(F14=""," ",VLOOKUP(F14,'Project List 2026'!A:J,3,0))</f>
        <v>Telecoms</v>
      </c>
      <c r="B14" s="18" t="str">
        <f>IF(F14=""," ",VLOOKUP(F14,'Project List 2026'!A:N,4,0))</f>
        <v>SEF</v>
      </c>
      <c r="C14" s="16" t="str">
        <f>IF(F14=""," ",VLOOKUP(E14,RefData!AG:AH,2,FALSE))</f>
        <v>Telecoms</v>
      </c>
      <c r="D14" s="18" t="str">
        <f>IF(F14=""," ",VLOOKUP(F14,'Project List 2026'!A:J,5,0))</f>
        <v>Dilyara Zeletdinova</v>
      </c>
      <c r="E14" t="s">
        <v>155</v>
      </c>
      <c r="F14" t="s">
        <v>654</v>
      </c>
      <c r="G14" s="18" t="str">
        <f>IF(F14=""," ",VLOOKUP(F14,'Project List 2026'!A:J,6,0))</f>
        <v>Internal</v>
      </c>
      <c r="H14" s="98">
        <f>IF(F14="","",VLOOKUP(F14,'Project List 2026'!A:H,8,0))</f>
        <v>87101423</v>
      </c>
      <c r="J14" s="18">
        <f>IF(F14=""," ",VLOOKUP(F14,'Project List 2026'!A:O,15,0))</f>
        <v>1002000</v>
      </c>
      <c r="K14" s="18" t="str">
        <f>IF(F14=""," ",VLOOKUP(F14,'Project List 2026'!A:T,9,0))</f>
        <v>Ongoing</v>
      </c>
      <c r="L14" s="101">
        <f>IF(F14=""," ",VLOOKUP(F14,'Project List 2026'!A:N,14,0))</f>
        <v>1</v>
      </c>
      <c r="M14" s="1">
        <v>0.2</v>
      </c>
      <c r="N14" s="1">
        <v>0.5</v>
      </c>
      <c r="O14" s="1">
        <v>0.5</v>
      </c>
      <c r="P14" s="1">
        <v>0.5</v>
      </c>
      <c r="Q14" s="1">
        <v>0.5</v>
      </c>
      <c r="R14" s="1">
        <v>0.5</v>
      </c>
      <c r="S14" s="1">
        <v>0.5</v>
      </c>
      <c r="T14" s="1">
        <v>0.5</v>
      </c>
      <c r="U14" s="1">
        <v>0.5</v>
      </c>
      <c r="V14" s="1">
        <v>0.5</v>
      </c>
      <c r="W14" s="1">
        <v>0.5</v>
      </c>
      <c r="X14" s="1">
        <v>0.5</v>
      </c>
      <c r="Y14" s="18" t="str">
        <f>IF(ISNA(VLOOKUP(F14,'Project List 2026'!A:A,1,FALSE)), "No", "Yes")</f>
        <v>Yes</v>
      </c>
    </row>
    <row r="15" spans="1:25" ht="15">
      <c r="A15" s="18" t="str">
        <f>IF(F15=""," ",VLOOKUP(F15,'Project List 2026'!A:J,3,0))</f>
        <v>Telecoms</v>
      </c>
      <c r="B15" s="18" t="str">
        <f>IF(F15=""," ",VLOOKUP(F15,'Project List 2026'!A:N,4,0))</f>
        <v>Telecoms</v>
      </c>
      <c r="C15" s="16" t="str">
        <f>IF(F15=""," ",VLOOKUP(E15,RefData!AG:AH,2,FALSE))</f>
        <v>Telecoms</v>
      </c>
      <c r="D15" s="18" t="str">
        <f>IF(F15=""," ",VLOOKUP(F15,'Project List 2026'!A:J,5,0))</f>
        <v>Dilyara Zeletdinova</v>
      </c>
      <c r="E15" t="s">
        <v>155</v>
      </c>
      <c r="F15" t="s">
        <v>156</v>
      </c>
      <c r="G15" s="18" t="str">
        <f>IF(F15=""," ",VLOOKUP(F15,'Project List 2026'!A:J,6,0))</f>
        <v>Internal</v>
      </c>
      <c r="H15" s="98">
        <f>IF(F15="","",VLOOKUP(F15,'Project List 2026'!A:H,8,0))</f>
        <v>0</v>
      </c>
      <c r="I15"/>
      <c r="J15" s="18">
        <f>IF(F15=""," ",VLOOKUP(F15,'Project List 2026'!A:O,15,0))</f>
        <v>0</v>
      </c>
      <c r="K15" s="18" t="str">
        <f>IF(F15=""," ",VLOOKUP(F15,'Project List 2026'!A:T,9,0))</f>
        <v>On hold</v>
      </c>
      <c r="L15" s="101">
        <f>IF(F15=""," ",VLOOKUP(F15,'Project List 2026'!A:N,14,0))</f>
        <v>0.75</v>
      </c>
      <c r="M15" s="1">
        <v>0.25</v>
      </c>
      <c r="N15" s="1">
        <v>0.25</v>
      </c>
      <c r="O15" s="1">
        <v>0.25</v>
      </c>
      <c r="P15" s="1">
        <v>0.25</v>
      </c>
      <c r="Q15" s="1">
        <v>0.25</v>
      </c>
      <c r="R15" s="1">
        <v>0.25</v>
      </c>
      <c r="S15" s="1">
        <v>0.25</v>
      </c>
      <c r="T15" s="1">
        <v>0.25</v>
      </c>
      <c r="U15" s="1">
        <v>0.25</v>
      </c>
      <c r="V15" s="1">
        <v>0.25</v>
      </c>
      <c r="W15" s="1">
        <v>0.25</v>
      </c>
      <c r="X15" s="1">
        <v>0.25</v>
      </c>
      <c r="Y15" s="18" t="str">
        <f>IF(ISNA(VLOOKUP(F15,'Project List 2026'!A:A,1,FALSE)), "No", "Yes")</f>
        <v>Yes</v>
      </c>
    </row>
    <row r="16" spans="1:25" ht="15">
      <c r="A16" s="18" t="str">
        <f>IF(F16=""," ",VLOOKUP(F16,'Project List 2026'!A:J,3,0))</f>
        <v>Telecoms</v>
      </c>
      <c r="B16" s="18" t="str">
        <f>IF(F16=""," ",VLOOKUP(F16,'Project List 2026'!A:N,4,0))</f>
        <v>Telecoms</v>
      </c>
      <c r="C16" s="16" t="str">
        <f>IF(F16=""," ",VLOOKUP(E16,RefData!AG:AH,2,FALSE))</f>
        <v>Telecoms</v>
      </c>
      <c r="D16" s="18" t="str">
        <f>IF(F16=""," ",VLOOKUP(F16,'Project List 2026'!A:J,5,0))</f>
        <v>Dilyara Zeletdinova</v>
      </c>
      <c r="E16" t="s">
        <v>155</v>
      </c>
      <c r="F16" t="s">
        <v>159</v>
      </c>
      <c r="G16" s="18" t="str">
        <f>IF(F16=""," ",VLOOKUP(F16,'Project List 2026'!A:J,6,0))</f>
        <v>Internal</v>
      </c>
      <c r="H16" s="98">
        <f>IF(F16="","",VLOOKUP(F16,'Project List 2026'!A:H,8,0))</f>
        <v>0</v>
      </c>
      <c r="I16"/>
      <c r="J16" s="18">
        <f>IF(F16=""," ",VLOOKUP(F16,'Project List 2026'!A:O,15,0))</f>
        <v>0</v>
      </c>
      <c r="K16" s="18" t="str">
        <f>IF(F16=""," ",VLOOKUP(F16,'Project List 2026'!A:T,9,0))</f>
        <v>Ongoing</v>
      </c>
      <c r="L16" s="101">
        <f>IF(F16=""," ",VLOOKUP(F16,'Project List 2026'!A:N,14,0))</f>
        <v>0.75</v>
      </c>
      <c r="M16" s="1">
        <v>0.25</v>
      </c>
      <c r="N16" s="1">
        <v>0.25</v>
      </c>
      <c r="O16" s="1">
        <v>0.25</v>
      </c>
      <c r="P16" s="1">
        <v>0.25</v>
      </c>
      <c r="Q16" s="1">
        <v>0.25</v>
      </c>
      <c r="R16" s="1">
        <v>0.25</v>
      </c>
      <c r="S16" s="1">
        <v>0.25</v>
      </c>
      <c r="T16" s="1">
        <v>0.25</v>
      </c>
      <c r="U16" s="1">
        <v>0.25</v>
      </c>
      <c r="V16" s="1">
        <v>0.25</v>
      </c>
      <c r="W16" s="1">
        <v>0.25</v>
      </c>
      <c r="X16" s="1">
        <v>0.25</v>
      </c>
      <c r="Y16" s="18" t="str">
        <f>IF(ISNA(VLOOKUP(F16,'Project List 2026'!A:A,1,FALSE)), "No", "Yes")</f>
        <v>Yes</v>
      </c>
    </row>
    <row r="17" spans="1:25" ht="15">
      <c r="A17" s="18" t="str">
        <f>IF(F17=""," ",VLOOKUP(F17,'Project List 2026'!A:J,3,0))</f>
        <v>Telecoms</v>
      </c>
      <c r="B17" s="18" t="str">
        <f>IF(F17=""," ",VLOOKUP(F17,'Project List 2026'!A:N,4,0))</f>
        <v>Others</v>
      </c>
      <c r="C17" s="16" t="str">
        <f>IF(F17=""," ",VLOOKUP(E17,RefData!AG:AH,2,FALSE))</f>
        <v>Telecoms</v>
      </c>
      <c r="D17" s="18" t="str">
        <f>IF(F17=""," ",VLOOKUP(F17,'Project List 2026'!A:J,5,0))</f>
        <v>Jaroslav Kral</v>
      </c>
      <c r="E17" t="s">
        <v>155</v>
      </c>
      <c r="F17" s="7" t="s">
        <v>241</v>
      </c>
      <c r="G17" s="18" t="str">
        <f>IF(F17=""," ",VLOOKUP(F17,'Project List 2026'!A:J,6,0))</f>
        <v>Internal</v>
      </c>
      <c r="H17" s="98">
        <f>IF(F17="","",VLOOKUP(F17,'Project List 2026'!A:H,8,0))</f>
        <v>87101359</v>
      </c>
      <c r="I17"/>
      <c r="J17" s="18">
        <f>IF(F17=""," ",VLOOKUP(F17,'Project List 2026'!A:O,15,0))</f>
        <v>0</v>
      </c>
      <c r="K17" s="18" t="str">
        <f>IF(F17=""," ",VLOOKUP(F17,'Project List 2026'!A:T,9,0))</f>
        <v>Ongoing</v>
      </c>
      <c r="L17" s="101">
        <f>IF(F17=""," ",VLOOKUP(F17,'Project List 2026'!A:N,14,0))</f>
        <v>1</v>
      </c>
      <c r="M17" s="1">
        <v>0.2</v>
      </c>
      <c r="N17" s="1">
        <v>0.2</v>
      </c>
      <c r="O17" s="1">
        <v>0.2</v>
      </c>
      <c r="P17"/>
      <c r="Q17"/>
      <c r="R17"/>
      <c r="S17"/>
      <c r="T17"/>
      <c r="U17"/>
      <c r="V17"/>
      <c r="W17"/>
      <c r="X17"/>
      <c r="Y17" s="18" t="str">
        <f>IF(ISNA(VLOOKUP(F17,'Project List 2026'!A:A,1,FALSE)), "No", "Yes")</f>
        <v>Yes</v>
      </c>
    </row>
    <row r="18" spans="1:25" ht="15">
      <c r="A18" s="18" t="str">
        <f>IF(F18=""," ",VLOOKUP(F18,'Project List 2026'!A:J,3,0))</f>
        <v>Hosting</v>
      </c>
      <c r="B18" s="18" t="str">
        <f>IF(F18=""," ",VLOOKUP(F18,'Project List 2026'!A:N,4,0))</f>
        <v>Hosting Programs</v>
      </c>
      <c r="C18" s="80" t="str">
        <f>IF(F18=""," ",VLOOKUP(E18,RefData!AG:AH,2,FALSE))</f>
        <v>Infra Services</v>
      </c>
      <c r="D18" s="18" t="str">
        <f>IF(F18=""," ",VLOOKUP(F18,'Project List 2026'!A:J,5,0))</f>
        <v>Katerina Soukupova</v>
      </c>
      <c r="E18" s="73" t="s">
        <v>164</v>
      </c>
      <c r="F18" s="81" t="s">
        <v>244</v>
      </c>
      <c r="G18" s="18" t="str">
        <f>IF(F18=""," ",VLOOKUP(F18,'Project List 2026'!A:J,6,0))</f>
        <v>External</v>
      </c>
      <c r="H18" s="98">
        <f>IF(F18="","",VLOOKUP(F18,'Project List 2026'!A:H,8,0))</f>
        <v>31319957</v>
      </c>
      <c r="J18" s="18">
        <f>IF(F18=""," ",VLOOKUP(F18,'Project List 2026'!A:O,15,0))</f>
        <v>474281</v>
      </c>
      <c r="K18" s="18" t="str">
        <f>IF(F18=""," ",VLOOKUP(F18,'Project List 2026'!A:T,9,0))</f>
        <v>Ongoing</v>
      </c>
      <c r="L18" s="101">
        <f>IF(F18=""," ",VLOOKUP(F18,'Project List 2026'!A:N,14,0))</f>
        <v>1</v>
      </c>
      <c r="M18" s="82">
        <v>0.5</v>
      </c>
      <c r="N18" s="82">
        <v>0.5</v>
      </c>
      <c r="O18" s="82">
        <v>0.4</v>
      </c>
      <c r="P18" s="82"/>
      <c r="Q18" s="82"/>
      <c r="R18" s="82">
        <v>0.4</v>
      </c>
      <c r="S18" s="82"/>
      <c r="T18" s="82">
        <v>0.5</v>
      </c>
      <c r="U18" s="82">
        <v>0.5</v>
      </c>
      <c r="V18" s="82">
        <v>0.5</v>
      </c>
      <c r="W18" s="82">
        <v>0.5</v>
      </c>
      <c r="X18" s="82">
        <v>0.5</v>
      </c>
      <c r="Y18" s="79" t="str">
        <f>IF(ISNA(VLOOKUP(F18,'Project List 2026'!A:A,1,FALSE)), "No", "Yes")</f>
        <v>Yes</v>
      </c>
    </row>
    <row r="19" spans="1:25" ht="15">
      <c r="A19" s="18" t="str">
        <f>IF(F19=""," ",VLOOKUP(F19,'Project List 2026'!A:J,3,0))</f>
        <v>Hosting</v>
      </c>
      <c r="B19" s="18" t="str">
        <f>IF(F19=""," ",VLOOKUP(F19,'Project List 2026'!A:N,4,0))</f>
        <v>IS - Other</v>
      </c>
      <c r="C19" s="84" t="s">
        <v>655</v>
      </c>
      <c r="D19" s="18" t="str">
        <f>IF(F19=""," ",VLOOKUP(F19,'Project List 2026'!A:J,5,0))</f>
        <v>Hana Kodatova</v>
      </c>
      <c r="E19" s="73" t="s">
        <v>164</v>
      </c>
      <c r="F19" s="73" t="s">
        <v>161</v>
      </c>
      <c r="G19" s="18" t="str">
        <f>IF(F19=""," ",VLOOKUP(F19,'Project List 2026'!A:J,6,0))</f>
        <v>Internal</v>
      </c>
      <c r="H19" s="98">
        <f>IF(F19="","",VLOOKUP(F19,'Project List 2026'!A:H,8,0))</f>
        <v>87002028</v>
      </c>
      <c r="J19" s="18">
        <f>IF(F19=""," ",VLOOKUP(F19,'Project List 2026'!A:O,15,0))</f>
        <v>130000</v>
      </c>
      <c r="K19" s="18" t="str">
        <f>IF(F19=""," ",VLOOKUP(F19,'Project List 2026'!A:T,9,0))</f>
        <v>Ongoing</v>
      </c>
      <c r="L19" s="101">
        <f>IF(F19=""," ",VLOOKUP(F19,'Project List 2026'!A:N,14,0))</f>
        <v>1</v>
      </c>
      <c r="M19" s="86">
        <v>0.3</v>
      </c>
      <c r="N19" s="86">
        <v>0.3</v>
      </c>
      <c r="O19" s="86">
        <v>0.3</v>
      </c>
      <c r="P19" s="86">
        <v>0.75</v>
      </c>
      <c r="Q19" s="82">
        <v>0.75</v>
      </c>
      <c r="R19" s="82">
        <v>0.4</v>
      </c>
      <c r="S19" s="82">
        <v>0.4</v>
      </c>
      <c r="Y19" s="79" t="str">
        <f>IF(ISNA(VLOOKUP(F19,'Project List 2026'!A:A,1,FALSE)), "No", "Yes")</f>
        <v>Yes</v>
      </c>
    </row>
    <row r="20" spans="1:25" ht="15">
      <c r="A20" s="18" t="str">
        <f>IF(F20=""," ",VLOOKUP(F20,'Project List 2026'!A:J,3,0))</f>
        <v>Hosting</v>
      </c>
      <c r="B20" s="18" t="str">
        <f>IF(F20=""," ",VLOOKUP(F20,'Project List 2026'!A:N,4,0))</f>
        <v>IS - Other</v>
      </c>
      <c r="C20" s="16" t="str">
        <f>IF(F20=""," ",VLOOKUP(E20,RefData!AG:AH,2,FALSE))</f>
        <v>Infra Services</v>
      </c>
      <c r="D20" s="18" t="str">
        <f>IF(F20=""," ",VLOOKUP(F20,'Project List 2026'!A:J,5,0))</f>
        <v>Hana Kodatova</v>
      </c>
      <c r="E20" s="73" t="s">
        <v>164</v>
      </c>
      <c r="F20" t="s">
        <v>168</v>
      </c>
      <c r="G20" s="18" t="str">
        <f>IF(F20=""," ",VLOOKUP(F20,'Project List 2026'!A:J,6,0))</f>
        <v>Internal</v>
      </c>
      <c r="H20" s="98">
        <f>IF(F20="","",VLOOKUP(F20,'Project List 2026'!A:H,8,0))</f>
        <v>87101414</v>
      </c>
      <c r="J20" s="18">
        <f>IF(F20=""," ",VLOOKUP(F20,'Project List 2026'!A:O,15,0))</f>
        <v>238525</v>
      </c>
      <c r="K20" s="18" t="str">
        <f>IF(F20=""," ",VLOOKUP(F20,'Project List 2026'!A:T,9,0))</f>
        <v>Ongoing</v>
      </c>
      <c r="L20" s="101">
        <f>IF(F20=""," ",VLOOKUP(F20,'Project List 2026'!A:N,14,0))</f>
        <v>1</v>
      </c>
      <c r="N20" s="82">
        <v>0.3</v>
      </c>
      <c r="O20" s="82"/>
      <c r="P20" s="82">
        <v>0.25</v>
      </c>
      <c r="Q20" s="82">
        <v>0.25</v>
      </c>
      <c r="R20" s="82">
        <v>0.15</v>
      </c>
      <c r="S20" s="82">
        <v>0.15</v>
      </c>
      <c r="T20" s="82">
        <v>0.15</v>
      </c>
      <c r="U20" s="82">
        <v>0.15</v>
      </c>
      <c r="V20" s="82"/>
      <c r="W20" s="82"/>
      <c r="Y20" s="79" t="str">
        <f>IF(ISNA(VLOOKUP(F20,'Project List 2026'!A:A,1,FALSE)), "No", "Yes")</f>
        <v>Yes</v>
      </c>
    </row>
    <row r="21" spans="1:25" ht="15">
      <c r="A21" s="18" t="str">
        <f>IF(F21=""," ",VLOOKUP(F21,'Project List 2026'!A:J,3,0))</f>
        <v>Hosting</v>
      </c>
      <c r="B21" s="18" t="str">
        <f>IF(F21=""," ",VLOOKUP(F21,'Project List 2026'!A:N,4,0))</f>
        <v>Hosting Programs</v>
      </c>
      <c r="C21" s="80" t="str">
        <f>IF(F21=""," ",VLOOKUP(E21,RefData!AG:AH,2,FALSE))</f>
        <v>Infra Services</v>
      </c>
      <c r="D21" s="18" t="str">
        <f>IF(F21=""," ",VLOOKUP(F21,'Project List 2026'!A:J,5,0))</f>
        <v>Neeraja Duddu</v>
      </c>
      <c r="E21" s="73" t="s">
        <v>164</v>
      </c>
      <c r="F21" s="44" t="s">
        <v>301</v>
      </c>
      <c r="G21" s="18" t="str">
        <f>IF(F21=""," ",VLOOKUP(F21,'Project List 2026'!A:J,6,0))</f>
        <v>Internal</v>
      </c>
      <c r="H21" s="98" t="str">
        <f>IF(F21="","",VLOOKUP(F21,'Project List 2026'!A:H,8,0))</f>
        <v>n/a</v>
      </c>
      <c r="J21" s="18">
        <f>IF(F21=""," ",VLOOKUP(F21,'Project List 2026'!A:O,15,0))</f>
        <v>0</v>
      </c>
      <c r="K21" s="18" t="str">
        <f>IF(F21=""," ",VLOOKUP(F21,'Project List 2026'!A:T,9,0))</f>
        <v>Ongoing</v>
      </c>
      <c r="L21" s="101">
        <f>IF(F21=""," ",VLOOKUP(F21,'Project List 2026'!A:N,14,0))</f>
        <v>1</v>
      </c>
      <c r="M21" s="82"/>
      <c r="N21" s="82"/>
      <c r="O21" s="82">
        <v>0.5</v>
      </c>
      <c r="P21" s="82"/>
      <c r="Q21" s="82"/>
      <c r="R21" s="82"/>
      <c r="S21" s="82"/>
      <c r="T21" s="82">
        <v>0.25</v>
      </c>
      <c r="U21" s="82"/>
      <c r="V21" s="82"/>
      <c r="W21" s="82"/>
      <c r="X21" s="82"/>
      <c r="Y21" s="79" t="str">
        <f>IF(ISNA(VLOOKUP(F21,'Project List 2026'!A:A,1,FALSE)), "No", "Yes")</f>
        <v>Yes</v>
      </c>
    </row>
    <row r="22" spans="1:25" customFormat="1" ht="15">
      <c r="A22" s="18" t="str">
        <f>IF(F22=""," ",VLOOKUP(F22,'Project List 2026'!A:J,3,0))</f>
        <v>Hosting</v>
      </c>
      <c r="B22" s="18" t="str">
        <f>IF(F22=""," ",VLOOKUP(F22,'Project List 2026'!A:N,4,0))</f>
        <v>Hosting Programs</v>
      </c>
      <c r="C22" s="16" t="str">
        <f>IF(F22=""," ",VLOOKUP(E22,RefData!AG:AH,2,FALSE))</f>
        <v>Infra Services</v>
      </c>
      <c r="D22" s="18" t="str">
        <f>IF(F22=""," ",VLOOKUP(F22,'Project List 2026'!A:J,5,0))</f>
        <v>Hana Kodatova</v>
      </c>
      <c r="E22" s="73" t="s">
        <v>164</v>
      </c>
      <c r="F22" t="s">
        <v>166</v>
      </c>
      <c r="G22" s="18" t="str">
        <f>IF(F22=""," ",VLOOKUP(F22,'Project List 2026'!A:J,6,0))</f>
        <v>External</v>
      </c>
      <c r="H22" s="98">
        <f>IF(F22="","",VLOOKUP(F22,'Project List 2026'!A:H,8,0))</f>
        <v>31318231</v>
      </c>
      <c r="I22" s="73"/>
      <c r="J22" s="18">
        <f>IF(F22=""," ",VLOOKUP(F22,'Project List 2026'!A:O,15,0))</f>
        <v>4453</v>
      </c>
      <c r="K22" s="18" t="s">
        <v>23</v>
      </c>
      <c r="L22" s="101">
        <f>IF(F22=""," ",VLOOKUP(F22,'Project List 2026'!A:N,14,0))</f>
        <v>1</v>
      </c>
      <c r="M22" s="82">
        <v>0.2</v>
      </c>
      <c r="N22" s="73"/>
      <c r="O22" s="73"/>
      <c r="P22" s="82">
        <v>0.05</v>
      </c>
      <c r="Q22" s="73"/>
      <c r="R22" s="73"/>
      <c r="S22" s="73"/>
      <c r="T22" s="73"/>
      <c r="U22" s="73"/>
      <c r="V22" s="73"/>
      <c r="W22" s="73"/>
      <c r="X22" s="73"/>
      <c r="Y22" s="79" t="str">
        <f>IF(ISNA(VLOOKUP(F22,'Project List 2026'!A:A,1,FALSE)), "No", "Yes")</f>
        <v>Yes</v>
      </c>
    </row>
    <row r="23" spans="1:25" customFormat="1" ht="15">
      <c r="A23" s="18" t="str">
        <f>IF(F23=""," ",VLOOKUP(F23,'Project List 2026'!A:J,3,0))</f>
        <v>Hosting</v>
      </c>
      <c r="B23" s="18" t="str">
        <f>IF(F23=""," ",VLOOKUP(F23,'Project List 2026'!A:N,4,0))</f>
        <v>Hosting Programs</v>
      </c>
      <c r="C23" s="80" t="str">
        <f>IF(F23=""," ",VLOOKUP(E23,RefData!AG:AH,2,FALSE))</f>
        <v>Infra Services</v>
      </c>
      <c r="D23" s="18" t="str">
        <f>IF(F23=""," ",VLOOKUP(F23,'Project List 2026'!A:J,5,0))</f>
        <v>Katerina Soukupova</v>
      </c>
      <c r="E23" s="73" t="s">
        <v>172</v>
      </c>
      <c r="F23" s="81" t="s">
        <v>244</v>
      </c>
      <c r="G23" s="18" t="str">
        <f>IF(F23=""," ",VLOOKUP(F23,'Project List 2026'!A:J,6,0))</f>
        <v>External</v>
      </c>
      <c r="H23" s="98">
        <f>IF(F23="","",VLOOKUP(F23,'Project List 2026'!A:H,8,0))</f>
        <v>31319957</v>
      </c>
      <c r="I23" s="73"/>
      <c r="J23" s="18">
        <f>IF(F23=""," ",VLOOKUP(F23,'Project List 2026'!A:O,15,0))</f>
        <v>474281</v>
      </c>
      <c r="K23" s="18" t="str">
        <f>IF(F23=""," ",VLOOKUP(F23,'Project List 2026'!A:T,9,0))</f>
        <v>Ongoing</v>
      </c>
      <c r="L23" s="101">
        <f>IF(F23=""," ",VLOOKUP(F23,'Project List 2026'!A:N,14,0))</f>
        <v>1</v>
      </c>
      <c r="M23" s="82">
        <v>0.5</v>
      </c>
      <c r="N23" s="82">
        <v>0.4</v>
      </c>
      <c r="O23" s="82">
        <v>0.4</v>
      </c>
      <c r="P23" s="82">
        <v>0.4</v>
      </c>
      <c r="Q23" s="82">
        <v>0.4</v>
      </c>
      <c r="R23" s="82">
        <v>0.4</v>
      </c>
      <c r="S23" s="82">
        <v>0.1</v>
      </c>
      <c r="T23" s="82">
        <v>0.25</v>
      </c>
      <c r="U23" s="82">
        <v>0.25</v>
      </c>
      <c r="V23" s="82">
        <v>0.25</v>
      </c>
      <c r="W23" s="82">
        <v>0.25</v>
      </c>
      <c r="X23" s="82">
        <v>0.5</v>
      </c>
      <c r="Y23" s="79" t="str">
        <f>IF(ISNA(VLOOKUP(F23,'Project List 2026'!A:A,1,FALSE)), "No", "Yes")</f>
        <v>Yes</v>
      </c>
    </row>
    <row r="24" spans="1:25" customFormat="1" ht="15">
      <c r="A24" s="18" t="str">
        <f>IF(F24=""," ",VLOOKUP(F24,'Project List 2026'!A:J,3,0))</f>
        <v>Hosting</v>
      </c>
      <c r="B24" s="18" t="str">
        <f>IF(F24=""," ",VLOOKUP(F24,'Project List 2026'!A:N,4,0))</f>
        <v>Hosting Programs</v>
      </c>
      <c r="C24" s="80" t="str">
        <f>IF(F24=""," ",VLOOKUP(E24,RefData!AG:AH,2,FALSE))</f>
        <v>Infra Services</v>
      </c>
      <c r="D24" s="18" t="str">
        <f>IF(F24=""," ",VLOOKUP(F24,'Project List 2026'!A:J,5,0))</f>
        <v>Neeraja Duddu</v>
      </c>
      <c r="E24" s="73" t="s">
        <v>172</v>
      </c>
      <c r="F24" s="81" t="s">
        <v>303</v>
      </c>
      <c r="G24" s="18" t="str">
        <f>IF(F24=""," ",VLOOKUP(F24,'Project List 2026'!A:J,6,0))</f>
        <v>Internal</v>
      </c>
      <c r="H24" s="98" t="str">
        <f>IF(F24="","",VLOOKUP(F24,'Project List 2026'!A:H,8,0))</f>
        <v>n/a</v>
      </c>
      <c r="I24" s="73"/>
      <c r="J24" s="18">
        <f>IF(F24=""," ",VLOOKUP(F24,'Project List 2026'!A:O,15,0))</f>
        <v>0</v>
      </c>
      <c r="K24" s="18" t="str">
        <f>IF(F24=""," ",VLOOKUP(F24,'Project List 2026'!A:T,9,0))</f>
        <v>Ongoing</v>
      </c>
      <c r="L24" s="101">
        <f>IF(F24=""," ",VLOOKUP(F24,'Project List 2026'!A:N,14,0))</f>
        <v>1</v>
      </c>
      <c r="M24" s="82">
        <v>0.2</v>
      </c>
      <c r="N24" s="82">
        <v>0.2</v>
      </c>
      <c r="O24" s="82">
        <v>0.2</v>
      </c>
      <c r="P24" s="82">
        <v>0.2</v>
      </c>
      <c r="Q24" s="82">
        <v>0.2</v>
      </c>
      <c r="R24" s="82">
        <v>0.2</v>
      </c>
      <c r="S24" s="82">
        <v>0.2</v>
      </c>
      <c r="T24" s="82">
        <v>0.2</v>
      </c>
      <c r="U24" s="82">
        <v>0.2</v>
      </c>
      <c r="V24" s="82">
        <v>0.2</v>
      </c>
      <c r="W24" s="82">
        <v>0.2</v>
      </c>
      <c r="X24" s="82">
        <v>0.2</v>
      </c>
      <c r="Y24" s="79" t="str">
        <f>IF(ISNA(VLOOKUP(F24,'Project List 2026'!A:A,1,FALSE)), "No", "Yes")</f>
        <v>Yes</v>
      </c>
    </row>
    <row r="25" spans="1:25" customFormat="1" ht="15">
      <c r="A25" s="18" t="str">
        <f>IF(F25=""," ",VLOOKUP(F25,'Project List 2026'!A:J,3,0))</f>
        <v>Hosting</v>
      </c>
      <c r="B25" s="18" t="str">
        <f>IF(F25=""," ",VLOOKUP(F25,'Project List 2026'!A:N,4,0))</f>
        <v>SEF</v>
      </c>
      <c r="C25" s="84" t="s">
        <v>655</v>
      </c>
      <c r="D25" s="18" t="str">
        <f>IF(F25=""," ",VLOOKUP(F25,'Project List 2026'!A:J,5,0))</f>
        <v>Hana Sinska</v>
      </c>
      <c r="E25" s="85" t="s">
        <v>172</v>
      </c>
      <c r="F25" s="85" t="s">
        <v>170</v>
      </c>
      <c r="G25" s="18" t="str">
        <f>IF(F25=""," ",VLOOKUP(F25,'Project List 2026'!A:J,6,0))</f>
        <v>Internal</v>
      </c>
      <c r="H25" s="98">
        <f>IF(F25="","",VLOOKUP(F25,'Project List 2026'!A:H,8,0))</f>
        <v>87101388</v>
      </c>
      <c r="I25" s="85"/>
      <c r="J25" s="18">
        <f>IF(F25=""," ",VLOOKUP(F25,'Project List 2026'!A:O,15,0))</f>
        <v>60000</v>
      </c>
      <c r="K25" s="18" t="str">
        <f>IF(F25=""," ",VLOOKUP(F25,'Project List 2026'!A:T,9,0))</f>
        <v>Ongoing</v>
      </c>
      <c r="L25" s="101">
        <f>IF(F25=""," ",VLOOKUP(F25,'Project List 2026'!A:N,14,0))</f>
        <v>1</v>
      </c>
      <c r="M25" s="86">
        <v>0.25</v>
      </c>
      <c r="N25" s="86">
        <v>0.15</v>
      </c>
      <c r="O25" s="86">
        <v>0.15</v>
      </c>
      <c r="P25" s="86">
        <v>0.1</v>
      </c>
      <c r="Q25" s="86">
        <v>0.1</v>
      </c>
      <c r="R25" s="86">
        <v>0.1</v>
      </c>
      <c r="S25" s="85"/>
      <c r="T25" s="85"/>
      <c r="U25" s="85"/>
      <c r="V25" s="85"/>
      <c r="W25" s="85"/>
      <c r="X25" s="85"/>
      <c r="Y25" s="83" t="s">
        <v>656</v>
      </c>
    </row>
    <row r="26" spans="1:25" customFormat="1" ht="15">
      <c r="A26" s="18" t="str">
        <f>IF(F26=""," ",VLOOKUP(F26,'Project List 2026'!A:J,3,0))</f>
        <v>Hosting</v>
      </c>
      <c r="B26" s="18" t="str">
        <f>IF(F26=""," ",VLOOKUP(F26,'Project List 2026'!A:N,4,0))</f>
        <v>Hosting Programs</v>
      </c>
      <c r="C26" s="16" t="str">
        <f>IF(F26=""," ",VLOOKUP(E26,RefData!AG:AH,2,FALSE))</f>
        <v>Infra Services</v>
      </c>
      <c r="D26" s="18" t="str">
        <f>IF(F26=""," ",VLOOKUP(F26,'Project List 2026'!A:J,5,0))</f>
        <v>Hana Sinska</v>
      </c>
      <c r="E26" s="73" t="s">
        <v>172</v>
      </c>
      <c r="F26" t="s">
        <v>175</v>
      </c>
      <c r="G26" s="18" t="str">
        <f>IF(F26=""," ",VLOOKUP(F26,'Project List 2026'!A:J,6,0))</f>
        <v>Internal</v>
      </c>
      <c r="H26" s="98">
        <f>IF(F26="","",VLOOKUP(F26,'Project List 2026'!A:H,8,0))</f>
        <v>89101329</v>
      </c>
      <c r="I26" s="73"/>
      <c r="J26" s="18">
        <f>IF(F26=""," ",VLOOKUP(F26,'Project List 2026'!A:O,15,0))</f>
        <v>251000</v>
      </c>
      <c r="K26" s="18" t="str">
        <f>IF(F26=""," ",VLOOKUP(F26,'Project List 2026'!A:T,9,0))</f>
        <v>Ongoing</v>
      </c>
      <c r="L26" s="101">
        <f>IF(F26=""," ",VLOOKUP(F26,'Project List 2026'!A:N,14,0))</f>
        <v>1</v>
      </c>
      <c r="M26" s="82">
        <v>0.25</v>
      </c>
      <c r="N26" s="82">
        <v>0.25</v>
      </c>
      <c r="O26" s="82">
        <v>0.25</v>
      </c>
      <c r="P26" s="82">
        <v>0.25</v>
      </c>
      <c r="Q26" s="82">
        <v>0.25</v>
      </c>
      <c r="R26" s="82">
        <v>0.25</v>
      </c>
      <c r="S26" s="82">
        <v>0.1</v>
      </c>
      <c r="T26" s="82">
        <v>0.25</v>
      </c>
      <c r="U26" s="82">
        <v>0.25</v>
      </c>
      <c r="V26" s="82">
        <v>0.25</v>
      </c>
      <c r="W26" s="82">
        <v>0.25</v>
      </c>
      <c r="X26" s="73"/>
      <c r="Y26" s="83" t="s">
        <v>656</v>
      </c>
    </row>
    <row r="27" spans="1:25" ht="15">
      <c r="A27" s="18" t="str">
        <f>IF(F27=""," ",VLOOKUP(F27,'Project List 2026'!A:J,3,0))</f>
        <v>Hosting</v>
      </c>
      <c r="B27" s="18" t="str">
        <f>IF(F27=""," ",VLOOKUP(F27,'Project List 2026'!A:N,4,0))</f>
        <v>IS - Other</v>
      </c>
      <c r="C27" s="16" t="str">
        <f>IF(F27=""," ",VLOOKUP(E27,RefData!AG:AH,2,FALSE))</f>
        <v>Infra Services</v>
      </c>
      <c r="D27" s="18" t="str">
        <f>IF(F27=""," ",VLOOKUP(F27,'Project List 2026'!A:J,5,0))</f>
        <v>Hana Sinska</v>
      </c>
      <c r="E27" s="73" t="s">
        <v>172</v>
      </c>
      <c r="F27" t="s">
        <v>177</v>
      </c>
      <c r="G27" s="18" t="str">
        <f>IF(F27=""," ",VLOOKUP(F27,'Project List 2026'!A:J,6,0))</f>
        <v>Internal</v>
      </c>
      <c r="H27" s="98" t="str">
        <f>IF(F27="","",VLOOKUP(F27,'Project List 2026'!A:H,8,0))</f>
        <v>89101266 </v>
      </c>
      <c r="J27" s="18">
        <f>IF(F27=""," ",VLOOKUP(F27,'Project List 2026'!A:O,15,0))</f>
        <v>13599.16</v>
      </c>
      <c r="K27" s="18" t="str">
        <f>IF(F27=""," ",VLOOKUP(F27,'Project List 2026'!A:T,9,0))</f>
        <v>Ongoing</v>
      </c>
      <c r="L27" s="101">
        <f>IF(F27=""," ",VLOOKUP(F27,'Project List 2026'!A:N,14,0))</f>
        <v>1</v>
      </c>
      <c r="M27" s="82"/>
      <c r="N27" s="82">
        <v>0.15</v>
      </c>
      <c r="O27" s="82">
        <v>0.15</v>
      </c>
      <c r="P27" s="82">
        <v>0.15</v>
      </c>
      <c r="Q27" s="82">
        <v>0.15</v>
      </c>
      <c r="R27" s="82">
        <v>0.15</v>
      </c>
      <c r="S27" s="82">
        <v>0.05</v>
      </c>
      <c r="T27" s="82">
        <v>0.05</v>
      </c>
      <c r="U27" s="82">
        <v>0.05</v>
      </c>
      <c r="V27" s="82">
        <v>0.05</v>
      </c>
      <c r="W27" s="82">
        <v>0.05</v>
      </c>
      <c r="X27" s="82">
        <v>0.05</v>
      </c>
      <c r="Y27" s="83" t="s">
        <v>656</v>
      </c>
    </row>
    <row r="28" spans="1:25" ht="15">
      <c r="A28" s="18" t="str">
        <f>IF(F28=""," ",VLOOKUP(F28,'Project List 2026'!A:J,3,0))</f>
        <v>Hosting</v>
      </c>
      <c r="B28" s="18" t="str">
        <f>IF(F28=""," ",VLOOKUP(F28,'Project List 2026'!A:N,4,0))</f>
        <v>Hosting Programs</v>
      </c>
      <c r="C28" s="80" t="str">
        <f>IF(F28=""," ",VLOOKUP(E28,RefData!AG:AH,2,FALSE))</f>
        <v>Infra Services</v>
      </c>
      <c r="D28" s="18" t="str">
        <f>IF(F28=""," ",VLOOKUP(F28,'Project List 2026'!A:J,5,0))</f>
        <v>Katerina Soukupova</v>
      </c>
      <c r="E28" s="73" t="s">
        <v>444</v>
      </c>
      <c r="F28" s="81" t="s">
        <v>244</v>
      </c>
      <c r="G28" s="18" t="str">
        <f>IF(F28=""," ",VLOOKUP(F28,'Project List 2026'!A:J,6,0))</f>
        <v>External</v>
      </c>
      <c r="H28" s="98">
        <f>IF(F28="","",VLOOKUP(F28,'Project List 2026'!A:H,8,0))</f>
        <v>31319957</v>
      </c>
      <c r="J28" s="18">
        <f>IF(F28=""," ",VLOOKUP(F28,'Project List 2026'!A:O,15,0))</f>
        <v>474281</v>
      </c>
      <c r="K28" s="18" t="str">
        <f>IF(F28=""," ",VLOOKUP(F28,'Project List 2026'!A:T,9,0))</f>
        <v>Ongoing</v>
      </c>
      <c r="L28" s="101">
        <f>IF(F28=""," ",VLOOKUP(F28,'Project List 2026'!A:N,14,0))</f>
        <v>1</v>
      </c>
      <c r="M28" s="82">
        <v>0.5</v>
      </c>
      <c r="N28" s="82">
        <v>0.5</v>
      </c>
      <c r="O28" s="82">
        <v>0.5</v>
      </c>
      <c r="P28" s="82">
        <v>0.5</v>
      </c>
      <c r="Q28" s="82">
        <v>0.5</v>
      </c>
      <c r="R28" s="82">
        <v>0.5</v>
      </c>
      <c r="S28" s="82">
        <v>0.4</v>
      </c>
      <c r="T28" s="82">
        <v>0.4</v>
      </c>
      <c r="U28" s="82">
        <v>0.4</v>
      </c>
      <c r="V28" s="82">
        <v>0.4</v>
      </c>
      <c r="W28" s="82">
        <v>0.4</v>
      </c>
      <c r="X28" s="82">
        <v>0.4</v>
      </c>
      <c r="Y28" s="79" t="str">
        <f>IF(ISNA(VLOOKUP(F28,'Project List 2026'!A:A,1,FALSE)), "No", "Yes")</f>
        <v>Yes</v>
      </c>
    </row>
    <row r="29" spans="1:25" customFormat="1" ht="15">
      <c r="A29" s="18" t="str">
        <f>IF(F29=""," ",VLOOKUP(F29,'Project List 2026'!A:J,3,0))</f>
        <v>Hosting</v>
      </c>
      <c r="B29" s="18" t="str">
        <f>IF(F29=""," ",VLOOKUP(F29,'Project List 2026'!A:N,4,0))</f>
        <v>Hosting Programs</v>
      </c>
      <c r="C29" s="80" t="str">
        <f>IF(F29=""," ",VLOOKUP(E29,RefData!AG:AH,2,FALSE))</f>
        <v>Infra Services</v>
      </c>
      <c r="D29" s="18" t="str">
        <f>IF(F29=""," ",VLOOKUP(F29,'Project List 2026'!A:J,5,0))</f>
        <v>Jana Veberova</v>
      </c>
      <c r="E29" s="73" t="s">
        <v>444</v>
      </c>
      <c r="F29" s="7" t="s">
        <v>225</v>
      </c>
      <c r="G29" s="18" t="str">
        <f>IF(F29=""," ",VLOOKUP(F29,'Project List 2026'!A:J,6,0))</f>
        <v>External</v>
      </c>
      <c r="H29" s="98">
        <f>IF(F29="","",VLOOKUP(F29,'Project List 2026'!A:H,8,0))</f>
        <v>31319332</v>
      </c>
      <c r="I29" s="73"/>
      <c r="J29" s="18">
        <f>IF(F29=""," ",VLOOKUP(F29,'Project List 2026'!A:O,15,0))</f>
        <v>321571.20000000001</v>
      </c>
      <c r="K29" s="18" t="str">
        <f>IF(F29=""," ",VLOOKUP(F29,'Project List 2026'!A:T,9,0))</f>
        <v>Ongoing</v>
      </c>
      <c r="L29" s="101">
        <f>IF(F29=""," ",VLOOKUP(F29,'Project List 2026'!A:N,14,0))</f>
        <v>1</v>
      </c>
      <c r="M29" s="82">
        <v>0.5</v>
      </c>
      <c r="N29" s="82">
        <v>0.5</v>
      </c>
      <c r="O29" s="82">
        <v>0.5</v>
      </c>
      <c r="P29" s="82">
        <v>0.5</v>
      </c>
      <c r="Q29" s="82">
        <v>0.5</v>
      </c>
      <c r="R29" s="82">
        <v>0.5</v>
      </c>
      <c r="S29" s="82">
        <v>0.4</v>
      </c>
      <c r="T29" s="82">
        <v>0.4</v>
      </c>
      <c r="U29" s="82">
        <v>0.4</v>
      </c>
      <c r="V29" s="82">
        <v>0.4</v>
      </c>
      <c r="W29" s="82">
        <v>0.4</v>
      </c>
      <c r="X29" s="82">
        <v>0.4</v>
      </c>
      <c r="Y29" s="79" t="str">
        <f>IF(ISNA(VLOOKUP(F29,'Project List 2026'!A:A,1,FALSE)), "No", "Yes")</f>
        <v>Yes</v>
      </c>
    </row>
    <row r="30" spans="1:25" ht="15">
      <c r="A30" s="18" t="str">
        <f>IF(F30=""," ",VLOOKUP(F30,'Project List 2026'!A:J,3,0))</f>
        <v>Hosting</v>
      </c>
      <c r="B30" s="18" t="str">
        <f>IF(F30=""," ",VLOOKUP(F30,'Project List 2026'!A:N,4,0))</f>
        <v>IS - Other</v>
      </c>
      <c r="C30" s="80" t="str">
        <f>IF(F30=""," ",VLOOKUP(E30,RefData!AG:AH,2,FALSE))</f>
        <v>Infra Services</v>
      </c>
      <c r="D30" s="18" t="str">
        <f>IF(F30=""," ",VLOOKUP(F30,'Project List 2026'!A:J,5,0))</f>
        <v>Ivan Godunov</v>
      </c>
      <c r="E30" s="73" t="s">
        <v>196</v>
      </c>
      <c r="F30" s="73" t="s">
        <v>195</v>
      </c>
      <c r="G30" s="18" t="str">
        <f>IF(F30=""," ",VLOOKUP(F30,'Project List 2026'!A:J,6,0))</f>
        <v>Internal</v>
      </c>
      <c r="H30" s="98">
        <f>IF(F30="","",VLOOKUP(F30,'Project List 2026'!A:H,8,0))</f>
        <v>87002011</v>
      </c>
      <c r="J30" s="18">
        <f>IF(F30=""," ",VLOOKUP(F30,'Project List 2026'!A:O,15,0))</f>
        <v>24830</v>
      </c>
      <c r="K30" s="18" t="str">
        <f>IF(F30=""," ",VLOOKUP(F30,'Project List 2026'!A:T,9,0))</f>
        <v>Completed</v>
      </c>
      <c r="L30" s="101">
        <f>IF(F30=""," ",VLOOKUP(F30,'Project List 2026'!A:N,14,0))</f>
        <v>1</v>
      </c>
      <c r="M30" s="82">
        <v>0.5</v>
      </c>
      <c r="N30" s="82">
        <v>0.3</v>
      </c>
      <c r="O30" s="82">
        <v>0.3</v>
      </c>
      <c r="P30" s="82">
        <v>0.3</v>
      </c>
      <c r="Q30" s="82">
        <v>0.05</v>
      </c>
      <c r="R30" s="82">
        <v>0.05</v>
      </c>
      <c r="Y30" s="79" t="str">
        <f>IF(ISNA(VLOOKUP(F30,'Project List 2026'!A:A,1,FALSE)), "No", "Yes")</f>
        <v>Yes</v>
      </c>
    </row>
    <row r="31" spans="1:25" ht="15">
      <c r="A31" s="18" t="str">
        <f>IF(F31=""," ",VLOOKUP(F31,'Project List 2026'!A:J,3,0))</f>
        <v>Hosting</v>
      </c>
      <c r="B31" s="18" t="str">
        <f>IF(F31=""," ",VLOOKUP(F31,'Project List 2026'!A:N,4,0))</f>
        <v>IS - Other</v>
      </c>
      <c r="C31" s="16" t="str">
        <f>IF(F31=""," ",VLOOKUP(E31,RefData!AG:AH,2,FALSE))</f>
        <v>Infra Services</v>
      </c>
      <c r="D31" s="18" t="str">
        <f>IF(F31=""," ",VLOOKUP(F31,'Project List 2026'!A:J,5,0))</f>
        <v>Ivan Godunov</v>
      </c>
      <c r="E31" s="73" t="s">
        <v>196</v>
      </c>
      <c r="F31" t="s">
        <v>197</v>
      </c>
      <c r="G31" s="18" t="str">
        <f>IF(F31=""," ",VLOOKUP(F31,'Project List 2026'!A:J,6,0))</f>
        <v>Internal</v>
      </c>
      <c r="H31" s="98">
        <f>IF(F31="","",VLOOKUP(F31,'Project List 2026'!A:H,8,0))</f>
        <v>89101198</v>
      </c>
      <c r="J31" s="18">
        <f>IF(F31=""," ",VLOOKUP(F31,'Project List 2026'!A:O,15,0))</f>
        <v>0</v>
      </c>
      <c r="K31" s="18" t="str">
        <f>IF(F31=""," ",VLOOKUP(F31,'Project List 2026'!A:T,9,0))</f>
        <v>Ongoing</v>
      </c>
      <c r="L31" s="101">
        <f>IF(F31=""," ",VLOOKUP(F31,'Project List 2026'!A:N,14,0))</f>
        <v>1</v>
      </c>
      <c r="N31" s="82">
        <v>0.4</v>
      </c>
      <c r="O31" s="82">
        <v>0.4</v>
      </c>
      <c r="Y31" s="79" t="str">
        <f>IF(ISNA(VLOOKUP(F31,'Project List 2026'!A:A,1,FALSE)), "No", "Yes")</f>
        <v>Yes</v>
      </c>
    </row>
    <row r="32" spans="1:25" customFormat="1" ht="15">
      <c r="A32" s="18" t="str">
        <f>IF(F32=""," ",VLOOKUP(F32,'Project List 2026'!A:J,3,0))</f>
        <v>Hosting</v>
      </c>
      <c r="B32" s="18" t="str">
        <f>IF(F32=""," ",VLOOKUP(F32,'Project List 2026'!A:N,4,0))</f>
        <v>Hosting Programs</v>
      </c>
      <c r="C32" s="84" t="s">
        <v>655</v>
      </c>
      <c r="D32" s="18" t="str">
        <f>IF(F32=""," ",VLOOKUP(F32,'Project List 2026'!A:J,5,0))</f>
        <v>Zlata Benesova</v>
      </c>
      <c r="E32" s="73" t="s">
        <v>196</v>
      </c>
      <c r="F32" s="73" t="s">
        <v>348</v>
      </c>
      <c r="G32" s="18" t="str">
        <f>IF(F32=""," ",VLOOKUP(F32,'Project List 2026'!A:J,6,0))</f>
        <v>External</v>
      </c>
      <c r="H32" s="98">
        <f>IF(F32="","",VLOOKUP(F32,'Project List 2026'!A:H,8,0))</f>
        <v>31319843</v>
      </c>
      <c r="I32" s="73"/>
      <c r="J32" s="18">
        <f>IF(F32=""," ",VLOOKUP(F32,'Project List 2026'!A:O,15,0))</f>
        <v>1355572</v>
      </c>
      <c r="K32" s="18" t="str">
        <f>IF(F32=""," ",VLOOKUP(F32,'Project List 2026'!A:T,9,0))</f>
        <v>Ongoing</v>
      </c>
      <c r="L32" s="101">
        <f>IF(F32=""," ",VLOOKUP(F32,'Project List 2026'!A:N,14,0))</f>
        <v>1</v>
      </c>
      <c r="M32" s="86"/>
      <c r="N32" s="86">
        <v>0.3</v>
      </c>
      <c r="O32" s="86">
        <v>0.3</v>
      </c>
      <c r="P32" s="86"/>
      <c r="Q32" s="86"/>
      <c r="R32" s="86"/>
      <c r="S32" s="86"/>
      <c r="T32" s="86"/>
      <c r="U32" s="86"/>
      <c r="V32" s="73"/>
      <c r="W32" s="73"/>
      <c r="X32" s="73"/>
      <c r="Y32" s="79" t="str">
        <f>IF(ISNA(VLOOKUP(F32,'Project List 2026'!A:A,1,FALSE)), "No", "Yes")</f>
        <v>Yes</v>
      </c>
    </row>
    <row r="33" spans="1:25" customFormat="1" ht="15">
      <c r="A33" s="18" t="str">
        <f>IF(F33=""," ",VLOOKUP(F33,'Project List 2026'!A:J,3,0))</f>
        <v>Hosting</v>
      </c>
      <c r="B33" s="18" t="str">
        <f>IF(F33=""," ",VLOOKUP(F33,'Project List 2026'!A:N,4,0))</f>
        <v>IS - Other</v>
      </c>
      <c r="C33" s="80" t="str">
        <f>IF(F33=""," ",VLOOKUP(E33,RefData!AG:AH,2,FALSE))</f>
        <v>Infra Services</v>
      </c>
      <c r="D33" s="18" t="str">
        <f>IF(F33=""," ",VLOOKUP(F33,'Project List 2026'!A:J,5,0))</f>
        <v>Ivan Godunov</v>
      </c>
      <c r="E33" s="73" t="s">
        <v>196</v>
      </c>
      <c r="F33" t="s">
        <v>446</v>
      </c>
      <c r="G33" s="18" t="str">
        <f>IF(F33=""," ",VLOOKUP(F33,'Project List 2026'!A:J,6,0))</f>
        <v>Internal</v>
      </c>
      <c r="H33" s="98">
        <f>IF(F33="","",VLOOKUP(F33,'Project List 2026'!A:H,8,0))</f>
        <v>87002052</v>
      </c>
      <c r="I33" s="73"/>
      <c r="J33" s="18">
        <f>IF(F33=""," ",VLOOKUP(F33,'Project List 2026'!A:O,15,0))</f>
        <v>151060</v>
      </c>
      <c r="K33" s="18" t="str">
        <f>IF(F33=""," ",VLOOKUP(F33,'Project List 2026'!A:T,9,0))</f>
        <v>Ongoing</v>
      </c>
      <c r="L33" s="101">
        <f>IF(F33=""," ",VLOOKUP(F33,'Project List 2026'!A:N,14,0))</f>
        <v>1</v>
      </c>
      <c r="M33" s="82">
        <v>0.5</v>
      </c>
      <c r="N33" s="82">
        <v>0.3</v>
      </c>
      <c r="O33" s="82">
        <v>0.3</v>
      </c>
      <c r="P33" s="82">
        <v>0.8</v>
      </c>
      <c r="Q33" s="82">
        <v>0.9</v>
      </c>
      <c r="R33" s="82">
        <v>0.9</v>
      </c>
      <c r="S33" s="82">
        <v>0.9</v>
      </c>
      <c r="T33" s="82">
        <v>0.9</v>
      </c>
      <c r="U33" s="82">
        <v>0.9</v>
      </c>
      <c r="V33" s="82">
        <v>0.9</v>
      </c>
      <c r="W33" s="82">
        <v>0.9</v>
      </c>
      <c r="X33" s="82">
        <v>0.9</v>
      </c>
      <c r="Y33" s="79" t="str">
        <f>IF(ISNA(VLOOKUP(F33,'Project List 2026'!A:A,1,FALSE)), "No", "Yes")</f>
        <v>Yes</v>
      </c>
    </row>
    <row r="34" spans="1:25" customFormat="1" ht="15">
      <c r="A34" s="18" t="str">
        <f>IF(F34=""," ",VLOOKUP(F34,'Project List 2026'!A:J,3,0))</f>
        <v>Telecoms</v>
      </c>
      <c r="B34" s="18" t="str">
        <f>IF(F34=""," ",VLOOKUP(F34,'Project List 2026'!A:N,4,0))</f>
        <v>Telecoms</v>
      </c>
      <c r="C34" s="16" t="str">
        <f>IF(F34=""," ",VLOOKUP(E34,RefData!AG:AH,2,FALSE))</f>
        <v>Telecoms</v>
      </c>
      <c r="D34" s="18" t="str">
        <f>IF(F34=""," ",VLOOKUP(F34,'Project List 2026'!A:J,5,0))</f>
        <v>Jan Cesnek</v>
      </c>
      <c r="E34" t="s">
        <v>201</v>
      </c>
      <c r="F34" t="s">
        <v>203</v>
      </c>
      <c r="G34" s="18" t="str">
        <f>IF(F34=""," ",VLOOKUP(F34,'Project List 2026'!A:J,6,0))</f>
        <v>External</v>
      </c>
      <c r="H34" s="98" t="str">
        <f>IF(F34="","",VLOOKUP(F34,'Project List 2026'!A:H,8,0))</f>
        <v>Multiple</v>
      </c>
      <c r="J34" s="18">
        <f>IF(F34=""," ",VLOOKUP(F34,'Project List 2026'!A:O,15,0))</f>
        <v>500000</v>
      </c>
      <c r="K34" s="18" t="str">
        <f>IF(F34=""," ",VLOOKUP(F34,'Project List 2026'!A:T,9,0))</f>
        <v>Ongoing</v>
      </c>
      <c r="L34" s="101">
        <f>IF(F34=""," ",VLOOKUP(F34,'Project List 2026'!A:N,14,0))</f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8" t="str">
        <f>IF(ISNA(VLOOKUP(F34,'Project List 2026'!A:A,1,FALSE)), "No", "Yes")</f>
        <v>Yes</v>
      </c>
    </row>
    <row r="35" spans="1:25" customFormat="1" ht="15">
      <c r="A35" s="18" t="str">
        <f>IF(F35=""," ",VLOOKUP(F35,'Project List 2026'!A:J,3,0))</f>
        <v>Telecoms</v>
      </c>
      <c r="B35" s="18" t="str">
        <f>IF(F35=""," ",VLOOKUP(F35,'Project List 2026'!A:N,4,0))</f>
        <v>Telecoms</v>
      </c>
      <c r="C35" s="16" t="str">
        <f>IF(F35=""," ",VLOOKUP(E35,RefData!AG:AH,2,FALSE))</f>
        <v>Telecoms</v>
      </c>
      <c r="D35" s="18" t="str">
        <f>IF(F35=""," ",VLOOKUP(F35,'Project List 2026'!A:J,5,0))</f>
        <v>Jan Ondrak</v>
      </c>
      <c r="E35" t="s">
        <v>208</v>
      </c>
      <c r="F35" s="7" t="s">
        <v>207</v>
      </c>
      <c r="G35" s="18" t="str">
        <f>IF(F35=""," ",VLOOKUP(F35,'Project List 2026'!A:J,6,0))</f>
        <v>Internal</v>
      </c>
      <c r="H35" s="98">
        <f>IF(F35="","",VLOOKUP(F35,'Project List 2026'!A:H,8,0))</f>
        <v>89100816</v>
      </c>
      <c r="J35" s="18">
        <f>IF(F35=""," ",VLOOKUP(F35,'Project List 2026'!A:O,15,0))</f>
        <v>0</v>
      </c>
      <c r="K35" s="18" t="str">
        <f>IF(F35=""," ",VLOOKUP(F35,'Project List 2026'!A:T,9,0))</f>
        <v>Ongoing</v>
      </c>
      <c r="L35" s="101">
        <f>IF(F35=""," ",VLOOKUP(F35,'Project List 2026'!A:N,14,0))</f>
        <v>0.25</v>
      </c>
      <c r="M35" s="1">
        <v>0.3</v>
      </c>
      <c r="N35" s="1">
        <v>0.3</v>
      </c>
      <c r="O35" s="1">
        <v>0.3</v>
      </c>
      <c r="P35" s="1">
        <v>0.3</v>
      </c>
      <c r="Q35" s="1">
        <v>0.3</v>
      </c>
      <c r="R35" s="1">
        <v>0.3</v>
      </c>
      <c r="Y35" s="18" t="str">
        <f>IF(ISNA(VLOOKUP(F35,'Project List 2026'!A:A,1,FALSE)), "No", "Yes")</f>
        <v>Yes</v>
      </c>
    </row>
    <row r="36" spans="1:25" customFormat="1" ht="15">
      <c r="A36" s="18" t="str">
        <f>IF(F36=""," ",VLOOKUP(F36,'Project List 2026'!A:J,3,0))</f>
        <v>Telecoms</v>
      </c>
      <c r="B36" s="18" t="str">
        <f>IF(F36=""," ",VLOOKUP(F36,'Project List 2026'!A:N,4,0))</f>
        <v>Others</v>
      </c>
      <c r="C36" s="16" t="str">
        <f>IF(F36=""," ",VLOOKUP(E36,RefData!AG:AH,2,FALSE))</f>
        <v>Telecoms</v>
      </c>
      <c r="D36" s="18" t="str">
        <f>IF(F36=""," ",VLOOKUP(F36,'Project List 2026'!A:J,5,0))</f>
        <v>Jan Ondrak</v>
      </c>
      <c r="E36" t="s">
        <v>208</v>
      </c>
      <c r="F36" s="7" t="s">
        <v>209</v>
      </c>
      <c r="G36" s="18" t="str">
        <f>IF(F36=""," ",VLOOKUP(F36,'Project List 2026'!A:J,6,0))</f>
        <v>Internal</v>
      </c>
      <c r="H36" s="98">
        <f>IF(F36="","",VLOOKUP(F36,'Project List 2026'!A:H,8,0))</f>
        <v>87001963</v>
      </c>
      <c r="J36" s="18">
        <f>IF(F36=""," ",VLOOKUP(F36,'Project List 2026'!A:O,15,0))</f>
        <v>1000</v>
      </c>
      <c r="K36" s="18" t="str">
        <f>IF(F36=""," ",VLOOKUP(F36,'Project List 2026'!A:T,9,0))</f>
        <v>Completed</v>
      </c>
      <c r="L36" s="101">
        <f>IF(F36=""," ",VLOOKUP(F36,'Project List 2026'!A:N,14,0))</f>
        <v>1</v>
      </c>
      <c r="M36" s="1">
        <v>0.1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8" t="str">
        <f>IF(ISNA(VLOOKUP(F36,'Project List 2026'!A:A,1,FALSE)), "No", "Yes")</f>
        <v>Yes</v>
      </c>
    </row>
    <row r="37" spans="1:25" ht="15">
      <c r="A37" s="18" t="str">
        <f>IF(F37=""," ",VLOOKUP(F37,'Project List 2026'!A:J,3,0))</f>
        <v>Telecoms</v>
      </c>
      <c r="B37" s="18" t="str">
        <f>IF(F37=""," ",VLOOKUP(F37,'Project List 2026'!A:N,4,0))</f>
        <v>Telecoms</v>
      </c>
      <c r="C37" s="16" t="str">
        <f>IF(F37=""," ",VLOOKUP(E37,RefData!AG:AH,2,FALSE))</f>
        <v>Telecoms</v>
      </c>
      <c r="D37" s="18" t="str">
        <f>IF(F37=""," ",VLOOKUP(F37,'Project List 2026'!A:J,5,0))</f>
        <v>Jan Ondrak</v>
      </c>
      <c r="E37" t="s">
        <v>208</v>
      </c>
      <c r="F37" t="s">
        <v>211</v>
      </c>
      <c r="G37" s="18" t="str">
        <f>IF(F37=""," ",VLOOKUP(F37,'Project List 2026'!A:J,6,0))</f>
        <v>Internal</v>
      </c>
      <c r="H37" s="98" t="str">
        <f>IF(F37="","",VLOOKUP(F37,'Project List 2026'!A:H,8,0))</f>
        <v>87101425, 89100816, 89101328</v>
      </c>
      <c r="I37"/>
      <c r="J37" s="18">
        <f>IF(F37=""," ",VLOOKUP(F37,'Project List 2026'!A:O,15,0))</f>
        <v>0</v>
      </c>
      <c r="K37" s="18" t="str">
        <f>IF(F37=""," ",VLOOKUP(F37,'Project List 2026'!A:T,9,0))</f>
        <v>Ongoing</v>
      </c>
      <c r="L37" s="101">
        <f>IF(F37=""," ",VLOOKUP(F37,'Project List 2026'!A:N,14,0))</f>
        <v>0.9</v>
      </c>
      <c r="M37" s="1">
        <v>0.3</v>
      </c>
      <c r="N37" s="1">
        <v>0.3</v>
      </c>
      <c r="O37" s="1">
        <v>0.3</v>
      </c>
      <c r="P37" s="1">
        <v>0.3</v>
      </c>
      <c r="Q37" s="1">
        <v>0.3</v>
      </c>
      <c r="R37" s="1">
        <v>0.3</v>
      </c>
      <c r="S37" s="1">
        <v>0.3</v>
      </c>
      <c r="T37" s="1">
        <v>0.3</v>
      </c>
      <c r="U37" s="1">
        <v>0.3</v>
      </c>
      <c r="V37" s="1">
        <v>0.3</v>
      </c>
      <c r="W37" s="1">
        <v>0.3</v>
      </c>
      <c r="X37" s="1">
        <v>0.3</v>
      </c>
      <c r="Y37" s="18" t="str">
        <f>IF(ISNA(VLOOKUP(F37,'Project List 2026'!A:A,1,FALSE)), "No", "Yes")</f>
        <v>Yes</v>
      </c>
    </row>
    <row r="38" spans="1:25" ht="15">
      <c r="A38" s="18" t="str">
        <f>IF(F38=""," ",VLOOKUP(F38,'Project List 2026'!A:J,3,0))</f>
        <v>Telecoms</v>
      </c>
      <c r="B38" s="18" t="str">
        <f>IF(F38=""," ",VLOOKUP(F38,'Project List 2026'!A:N,4,0))</f>
        <v>Telecoms</v>
      </c>
      <c r="C38" s="16" t="str">
        <f>IF(F38=""," ",VLOOKUP(E38,RefData!AG:AH,2,FALSE))</f>
        <v>Telecoms</v>
      </c>
      <c r="D38" s="18" t="str">
        <f>IF(F38=""," ",VLOOKUP(F38,'Project List 2026'!A:J,5,0))</f>
        <v>Jan Ondrak</v>
      </c>
      <c r="E38" t="s">
        <v>208</v>
      </c>
      <c r="F38" t="s">
        <v>214</v>
      </c>
      <c r="G38" s="18" t="str">
        <f>IF(F38=""," ",VLOOKUP(F38,'Project List 2026'!A:J,6,0))</f>
        <v>Internal</v>
      </c>
      <c r="H38" s="98">
        <f>IF(F38="","",VLOOKUP(F38,'Project List 2026'!A:H,8,0))</f>
        <v>89101295</v>
      </c>
      <c r="I38"/>
      <c r="J38" s="18">
        <f>IF(F38=""," ",VLOOKUP(F38,'Project List 2026'!A:O,15,0))</f>
        <v>0</v>
      </c>
      <c r="K38" s="18" t="str">
        <f>IF(F38=""," ",VLOOKUP(F38,'Project List 2026'!A:T,9,0))</f>
        <v>Ongoing</v>
      </c>
      <c r="L38" s="101">
        <f>IF(F38=""," ",VLOOKUP(F38,'Project List 2026'!A:N,14,0))</f>
        <v>0.9</v>
      </c>
      <c r="M38" s="1">
        <v>0.3</v>
      </c>
      <c r="N38" s="1">
        <v>0.3</v>
      </c>
      <c r="O38" s="1">
        <v>0.3</v>
      </c>
      <c r="P38" s="1">
        <v>0.3</v>
      </c>
      <c r="Q38" s="1">
        <v>0.3</v>
      </c>
      <c r="R38" s="1">
        <v>0.3</v>
      </c>
      <c r="S38" s="1">
        <v>0.3</v>
      </c>
      <c r="T38" s="1">
        <v>0.3</v>
      </c>
      <c r="U38" s="1">
        <v>0.3</v>
      </c>
      <c r="V38" s="1"/>
      <c r="W38" s="1"/>
      <c r="X38" s="1"/>
      <c r="Y38" s="18" t="str">
        <f>IF(ISNA(VLOOKUP(F38,'Project List 2026'!A:A,1,FALSE)), "No", "Yes")</f>
        <v>Yes</v>
      </c>
    </row>
    <row r="39" spans="1:25" customFormat="1" ht="15">
      <c r="A39" s="18" t="str">
        <f>IF(F39=""," ",VLOOKUP(F39,'Project List 2026'!A:J,3,0))</f>
        <v>Hosting</v>
      </c>
      <c r="B39" s="18" t="str">
        <f>IF(F39=""," ",VLOOKUP(F39,'Project List 2026'!A:N,4,0))</f>
        <v>SEF</v>
      </c>
      <c r="C39" s="80" t="str">
        <f>IF(F39=""," ",VLOOKUP(E39,RefData!AG:AH,2,FALSE))</f>
        <v>Infra Services</v>
      </c>
      <c r="D39" s="18" t="str">
        <f>IF(F39=""," ",VLOOKUP(F39,'Project List 2026'!A:J,5,0))</f>
        <v>Jan Truksa</v>
      </c>
      <c r="E39" s="73" t="s">
        <v>217</v>
      </c>
      <c r="F39" s="73" t="s">
        <v>215</v>
      </c>
      <c r="G39" s="18" t="str">
        <f>IF(F39=""," ",VLOOKUP(F39,'Project List 2026'!A:J,6,0))</f>
        <v>Internal</v>
      </c>
      <c r="H39" s="98">
        <f>IF(F39="","",VLOOKUP(F39,'Project List 2026'!A:H,8,0))</f>
        <v>87101401</v>
      </c>
      <c r="I39" s="73"/>
      <c r="J39" s="18">
        <f>IF(F39=""," ",VLOOKUP(F39,'Project List 2026'!A:O,15,0))</f>
        <v>687000</v>
      </c>
      <c r="K39" s="18" t="str">
        <f>IF(F39=""," ",VLOOKUP(F39,'Project List 2026'!A:T,9,0))</f>
        <v>On hold</v>
      </c>
      <c r="L39" s="101">
        <f>IF(F39=""," ",VLOOKUP(F39,'Project List 2026'!A:N,14,0))</f>
        <v>1</v>
      </c>
      <c r="M39" s="82">
        <v>1</v>
      </c>
      <c r="N39" s="82">
        <v>1</v>
      </c>
      <c r="O39" s="82">
        <v>1</v>
      </c>
      <c r="P39" s="82">
        <v>1</v>
      </c>
      <c r="Q39" s="82">
        <v>1</v>
      </c>
      <c r="R39" s="82">
        <v>1</v>
      </c>
      <c r="S39" s="82"/>
      <c r="T39" s="82"/>
      <c r="U39" s="82"/>
      <c r="V39" s="82"/>
      <c r="W39" s="82"/>
      <c r="X39" s="82"/>
      <c r="Y39" s="79" t="str">
        <f>IF(ISNA(VLOOKUP(F39,'Project List 2026'!A:A,1,FALSE)), "No", "Yes")</f>
        <v>Yes</v>
      </c>
    </row>
    <row r="40" spans="1:25" customFormat="1" ht="15">
      <c r="A40" s="18" t="str">
        <f>IF(F40=""," ",VLOOKUP(F40,'Project List 2026'!A:J,3,0))</f>
        <v>Hosting</v>
      </c>
      <c r="B40" s="18" t="str">
        <f>IF(F40=""," ",VLOOKUP(F40,'Project List 2026'!A:N,4,0))</f>
        <v>Hosting Programs</v>
      </c>
      <c r="C40" s="80" t="str">
        <f>IF(F40=""," ",VLOOKUP(E40,RefData!AG:AH,2,FALSE))</f>
        <v>Infra Services</v>
      </c>
      <c r="D40" s="18" t="str">
        <f>IF(F40=""," ",VLOOKUP(F40,'Project List 2026'!A:J,5,0))</f>
        <v>Jana Veberova</v>
      </c>
      <c r="E40" s="73" t="s">
        <v>223</v>
      </c>
      <c r="F40" s="7" t="s">
        <v>225</v>
      </c>
      <c r="G40" s="18" t="str">
        <f>IF(F40=""," ",VLOOKUP(F40,'Project List 2026'!A:J,6,0))</f>
        <v>External</v>
      </c>
      <c r="H40" s="98">
        <f>IF(F40="","",VLOOKUP(F40,'Project List 2026'!A:H,8,0))</f>
        <v>31319332</v>
      </c>
      <c r="I40" s="73"/>
      <c r="J40" s="18">
        <f>IF(F40=""," ",VLOOKUP(F40,'Project List 2026'!A:O,15,0))</f>
        <v>321571.20000000001</v>
      </c>
      <c r="K40" s="18" t="str">
        <f>IF(F40=""," ",VLOOKUP(F40,'Project List 2026'!A:T,9,0))</f>
        <v>Ongoing</v>
      </c>
      <c r="L40" s="101">
        <f>IF(F40=""," ",VLOOKUP(F40,'Project List 2026'!A:N,14,0))</f>
        <v>1</v>
      </c>
      <c r="M40" s="82">
        <v>0.7</v>
      </c>
      <c r="N40" s="82">
        <v>0.7</v>
      </c>
      <c r="O40" s="82">
        <v>0.7</v>
      </c>
      <c r="P40" s="82">
        <v>0.8</v>
      </c>
      <c r="Q40" s="82">
        <v>0.9</v>
      </c>
      <c r="R40" s="82">
        <v>0.9</v>
      </c>
      <c r="S40" s="82">
        <v>0.8</v>
      </c>
      <c r="T40" s="82">
        <v>0.8</v>
      </c>
      <c r="U40" s="82">
        <v>0.8</v>
      </c>
      <c r="V40" s="82">
        <v>0.8</v>
      </c>
      <c r="W40" s="82">
        <v>0.7</v>
      </c>
      <c r="X40" s="82">
        <v>0.7</v>
      </c>
      <c r="Y40" s="79" t="str">
        <f>IF(ISNA(VLOOKUP(F40,'Project List 2026'!A:A,1,FALSE)), "No", "Yes")</f>
        <v>Yes</v>
      </c>
    </row>
    <row r="41" spans="1:25" ht="15">
      <c r="A41" s="18" t="str">
        <f>IF(F41=""," ",VLOOKUP(F41,'Project List 2026'!A:J,3,0))</f>
        <v>Hosting</v>
      </c>
      <c r="B41" s="18" t="str">
        <f>IF(F41=""," ",VLOOKUP(F41,'Project List 2026'!A:N,4,0))</f>
        <v>Hosting Programs</v>
      </c>
      <c r="C41" s="16" t="str">
        <f>IF(F41=""," ",VLOOKUP(E41,RefData!AG:AH,2,FALSE))</f>
        <v>Infra Services</v>
      </c>
      <c r="D41" s="18" t="str">
        <f>IF(F41=""," ",VLOOKUP(F41,'Project List 2026'!A:J,5,0))</f>
        <v>Jana Veberova</v>
      </c>
      <c r="E41" t="s">
        <v>223</v>
      </c>
      <c r="F41" t="s">
        <v>239</v>
      </c>
      <c r="G41" s="18" t="str">
        <f>IF(F41=""," ",VLOOKUP(F41,'Project List 2026'!A:J,6,0))</f>
        <v>External</v>
      </c>
      <c r="H41" s="98">
        <f>IF(F41="","",VLOOKUP(F41,'Project List 2026'!A:H,8,0))</f>
        <v>31317555</v>
      </c>
      <c r="J41" s="18">
        <f>IF(F41=""," ",VLOOKUP(F41,'Project List 2026'!A:O,15,0))</f>
        <v>9008.16</v>
      </c>
      <c r="K41" s="18" t="str">
        <f>IF(F41=""," ",VLOOKUP(F41,'Project List 2026'!A:T,9,0))</f>
        <v>Completed</v>
      </c>
      <c r="L41" s="101">
        <f>IF(F41=""," ",VLOOKUP(F41,'Project List 2026'!A:N,14,0))</f>
        <v>1</v>
      </c>
      <c r="M41" s="82">
        <v>0.2</v>
      </c>
      <c r="N41" s="82">
        <v>0.2</v>
      </c>
      <c r="O41" s="82">
        <v>0.2</v>
      </c>
      <c r="P41" s="82">
        <v>0.1</v>
      </c>
      <c r="Y41" s="79" t="str">
        <f>IF(ISNA(VLOOKUP(F41,'Project List 2026'!A:A,1,FALSE)), "No", "Yes")</f>
        <v>Yes</v>
      </c>
    </row>
    <row r="42" spans="1:25" customFormat="1" ht="15">
      <c r="A42" s="18" t="str">
        <f>IF(F42=""," ",VLOOKUP(F42,'Project List 2026'!A:J,3,0))</f>
        <v>Telecoms</v>
      </c>
      <c r="B42" s="18" t="str">
        <f>IF(F42=""," ",VLOOKUP(F42,'Project List 2026'!A:N,4,0))</f>
        <v>Others</v>
      </c>
      <c r="C42" s="16" t="str">
        <f>IF(F42=""," ",VLOOKUP(E42,RefData!AG:AH,2,FALSE))</f>
        <v>Telecoms</v>
      </c>
      <c r="D42" s="18" t="str">
        <f>IF(F42=""," ",VLOOKUP(F42,'Project List 2026'!A:J,5,0))</f>
        <v>Jaroslav Kral</v>
      </c>
      <c r="E42" t="s">
        <v>242</v>
      </c>
      <c r="F42" s="7" t="s">
        <v>241</v>
      </c>
      <c r="G42" s="18" t="str">
        <f>IF(F42=""," ",VLOOKUP(F42,'Project List 2026'!A:J,6,0))</f>
        <v>Internal</v>
      </c>
      <c r="H42" s="98">
        <f>IF(F42="","",VLOOKUP(F42,'Project List 2026'!A:H,8,0))</f>
        <v>87101359</v>
      </c>
      <c r="J42" s="18">
        <f>IF(F42=""," ",VLOOKUP(F42,'Project List 2026'!A:O,15,0))</f>
        <v>0</v>
      </c>
      <c r="K42" s="18" t="str">
        <f>IF(F42=""," ",VLOOKUP(F42,'Project List 2026'!A:T,9,0))</f>
        <v>Ongoing</v>
      </c>
      <c r="L42" s="101">
        <f>IF(F42=""," ",VLOOKUP(F42,'Project List 2026'!A:N,14,0))</f>
        <v>1</v>
      </c>
      <c r="M42" s="1">
        <v>1</v>
      </c>
      <c r="N42" s="1">
        <v>1</v>
      </c>
      <c r="O42" s="1">
        <v>1</v>
      </c>
      <c r="P42" s="1">
        <v>0.6</v>
      </c>
      <c r="Q42" s="1">
        <v>0.6</v>
      </c>
      <c r="R42" s="1">
        <v>0.6</v>
      </c>
      <c r="S42" s="1">
        <v>0.6</v>
      </c>
      <c r="T42" s="1">
        <v>0.6</v>
      </c>
      <c r="U42" s="1">
        <v>0.6</v>
      </c>
      <c r="V42" s="1">
        <v>0.6</v>
      </c>
      <c r="W42" s="1">
        <v>0.6</v>
      </c>
      <c r="X42" s="1">
        <v>0.6</v>
      </c>
      <c r="Y42" s="18" t="str">
        <f>IF(ISNA(VLOOKUP(F42,'Project List 2026'!A:A,1,FALSE)), "No", "Yes")</f>
        <v>Yes</v>
      </c>
    </row>
    <row r="43" spans="1:25" customFormat="1" ht="15">
      <c r="A43" s="18" t="str">
        <f>IF(F43=""," ",VLOOKUP(F43,'Project List 2026'!A:J,3,0))</f>
        <v>Hosting</v>
      </c>
      <c r="B43" s="18" t="str">
        <f>IF(F43=""," ",VLOOKUP(F43,'Project List 2026'!A:N,4,0))</f>
        <v>Hosting Programs</v>
      </c>
      <c r="C43" s="80" t="str">
        <f>IF(F43=""," ",VLOOKUP(E43,RefData!AG:AH,2,FALSE))</f>
        <v>Infra Services</v>
      </c>
      <c r="D43" s="18" t="str">
        <f>IF(F43=""," ",VLOOKUP(F43,'Project List 2026'!A:J,5,0))</f>
        <v>Katerina Soukupova</v>
      </c>
      <c r="E43" s="73" t="s">
        <v>657</v>
      </c>
      <c r="F43" s="81" t="s">
        <v>244</v>
      </c>
      <c r="G43" s="18" t="str">
        <f>IF(F43=""," ",VLOOKUP(F43,'Project List 2026'!A:J,6,0))</f>
        <v>External</v>
      </c>
      <c r="H43" s="98">
        <f>IF(F43="","",VLOOKUP(F43,'Project List 2026'!A:H,8,0))</f>
        <v>31319957</v>
      </c>
      <c r="I43" s="73"/>
      <c r="J43" s="18">
        <f>IF(F43=""," ",VLOOKUP(F43,'Project List 2026'!A:O,15,0))</f>
        <v>474281</v>
      </c>
      <c r="K43" s="18" t="str">
        <f>IF(F43=""," ",VLOOKUP(F43,'Project List 2026'!A:T,9,0))</f>
        <v>Ongoing</v>
      </c>
      <c r="L43" s="101">
        <f>IF(F43=""," ",VLOOKUP(F43,'Project List 2026'!A:N,14,0))</f>
        <v>1</v>
      </c>
      <c r="M43" s="82">
        <v>0.8</v>
      </c>
      <c r="N43" s="82">
        <v>0.8</v>
      </c>
      <c r="O43" s="82">
        <v>0.8</v>
      </c>
      <c r="P43" s="82">
        <v>0.8</v>
      </c>
      <c r="Q43" s="82">
        <v>0.8</v>
      </c>
      <c r="R43" s="82">
        <v>0.8</v>
      </c>
      <c r="S43" s="82">
        <v>0.8</v>
      </c>
      <c r="T43" s="82">
        <v>0.8</v>
      </c>
      <c r="U43" s="82">
        <v>0.8</v>
      </c>
      <c r="V43" s="82">
        <v>0.8</v>
      </c>
      <c r="W43" s="82">
        <v>0.8</v>
      </c>
      <c r="X43" s="82">
        <v>0.8</v>
      </c>
      <c r="Y43" s="79" t="str">
        <f>IF(ISNA(VLOOKUP(F43,'Project List 2026'!A:A,1,FALSE)), "No", "Yes")</f>
        <v>Yes</v>
      </c>
    </row>
    <row r="44" spans="1:25" customFormat="1" ht="15">
      <c r="A44" s="18" t="str">
        <f>IF(F44=""," ",VLOOKUP(F44,'Project List 2026'!A:J,3,0))</f>
        <v>Hosting</v>
      </c>
      <c r="B44" s="18" t="str">
        <f>IF(F44=""," ",VLOOKUP(F44,'Project List 2026'!A:N,4,0))</f>
        <v>Hosting Programs</v>
      </c>
      <c r="C44" s="80" t="str">
        <f>IF(F44=""," ",VLOOKUP(E44,RefData!AG:AH,2,FALSE))</f>
        <v>Infra Services</v>
      </c>
      <c r="D44" s="18" t="str">
        <f>IF(F44=""," ",VLOOKUP(F44,'Project List 2026'!A:J,5,0))</f>
        <v>Neeraja Duddu</v>
      </c>
      <c r="E44" s="73" t="s">
        <v>657</v>
      </c>
      <c r="F44" s="81" t="s">
        <v>303</v>
      </c>
      <c r="G44" s="18" t="str">
        <f>IF(F44=""," ",VLOOKUP(F44,'Project List 2026'!A:J,6,0))</f>
        <v>Internal</v>
      </c>
      <c r="H44" s="98" t="str">
        <f>IF(F44="","",VLOOKUP(F44,'Project List 2026'!A:H,8,0))</f>
        <v>n/a</v>
      </c>
      <c r="I44" s="73"/>
      <c r="J44" s="18">
        <f>IF(F44=""," ",VLOOKUP(F44,'Project List 2026'!A:O,15,0))</f>
        <v>0</v>
      </c>
      <c r="K44" s="18" t="str">
        <f>IF(F44=""," ",VLOOKUP(F44,'Project List 2026'!A:T,9,0))</f>
        <v>Ongoing</v>
      </c>
      <c r="L44" s="101">
        <f>IF(F44=""," ",VLOOKUP(F44,'Project List 2026'!A:N,14,0))</f>
        <v>1</v>
      </c>
      <c r="M44" s="82">
        <v>0.2</v>
      </c>
      <c r="N44" s="82">
        <v>0.2</v>
      </c>
      <c r="O44" s="82">
        <v>0.2</v>
      </c>
      <c r="P44" s="82">
        <v>0.2</v>
      </c>
      <c r="Q44" s="82">
        <v>0.2</v>
      </c>
      <c r="R44" s="82">
        <v>0.2</v>
      </c>
      <c r="S44" s="82">
        <v>0.2</v>
      </c>
      <c r="T44" s="82">
        <v>0.2</v>
      </c>
      <c r="U44" s="82">
        <v>0.2</v>
      </c>
      <c r="V44" s="82">
        <v>0.2</v>
      </c>
      <c r="W44" s="82">
        <v>0.2</v>
      </c>
      <c r="X44" s="82">
        <v>0.2</v>
      </c>
      <c r="Y44" s="79" t="str">
        <f>IF(ISNA(VLOOKUP(F44,'Project List 2026'!A:A,1,FALSE)), "No", "Yes")</f>
        <v>Yes</v>
      </c>
    </row>
    <row r="45" spans="1:25" customFormat="1" ht="15">
      <c r="A45" s="18" t="str">
        <f>IF(F45=""," ",VLOOKUP(F45,'Project List 2026'!A:J,3,0))</f>
        <v>Telecoms</v>
      </c>
      <c r="B45" s="18" t="str">
        <f>IF(F45=""," ",VLOOKUP(F45,'Project List 2026'!A:N,4,0))</f>
        <v>Others</v>
      </c>
      <c r="C45" s="16" t="str">
        <f>IF(F45=""," ",VLOOKUP(E45,RefData!AG:AH,2,FALSE))</f>
        <v>Telecoms</v>
      </c>
      <c r="D45" s="18" t="str">
        <f>IF(F45=""," ",VLOOKUP(F45,'Project List 2026'!A:J,5,0))</f>
        <v>Kirill Shabalkin</v>
      </c>
      <c r="E45" t="s">
        <v>250</v>
      </c>
      <c r="F45" s="7" t="s">
        <v>252</v>
      </c>
      <c r="G45" s="18" t="str">
        <f>IF(F45=""," ",VLOOKUP(F45,'Project List 2026'!A:J,6,0))</f>
        <v>Internal</v>
      </c>
      <c r="H45" s="98">
        <f>IF(F45="","",VLOOKUP(F45,'Project List 2026'!A:H,8,0))</f>
        <v>89101178</v>
      </c>
      <c r="J45" s="18">
        <f>IF(F45=""," ",VLOOKUP(F45,'Project List 2026'!A:O,15,0))</f>
        <v>0</v>
      </c>
      <c r="K45" s="18" t="str">
        <f>IF(F45=""," ",VLOOKUP(F45,'Project List 2026'!A:T,9,0))</f>
        <v>On hold</v>
      </c>
      <c r="L45" s="101">
        <f>IF(F45=""," ",VLOOKUP(F45,'Project List 2026'!A:N,14,0))</f>
        <v>1</v>
      </c>
      <c r="N45" s="1">
        <v>0.2</v>
      </c>
      <c r="Y45" s="18" t="str">
        <f>IF(ISNA(VLOOKUP(F45,'Project List 2026'!A:A,1,FALSE)), "No", "Yes")</f>
        <v>Yes</v>
      </c>
    </row>
    <row r="46" spans="1:25" customFormat="1" ht="15">
      <c r="A46" s="18" t="str">
        <f>IF(F46=""," ",VLOOKUP(F46,'Project List 2026'!A:J,3,0))</f>
        <v>Telecoms</v>
      </c>
      <c r="B46" s="18" t="str">
        <f>IF(F46=""," ",VLOOKUP(F46,'Project List 2026'!A:N,4,0))</f>
        <v>Others</v>
      </c>
      <c r="C46" s="16" t="str">
        <f>IF(F46=""," ",VLOOKUP(E46,RefData!AG:AH,2,FALSE))</f>
        <v>Telecoms</v>
      </c>
      <c r="D46" s="18" t="str">
        <f>IF(F46=""," ",VLOOKUP(F46,'Project List 2026'!A:J,5,0))</f>
        <v>Kirill Shabalkin</v>
      </c>
      <c r="E46" t="s">
        <v>250</v>
      </c>
      <c r="F46" s="7" t="s">
        <v>248</v>
      </c>
      <c r="G46" s="18" t="str">
        <f>IF(F46=""," ",VLOOKUP(F46,'Project List 2026'!A:J,6,0))</f>
        <v>Internal</v>
      </c>
      <c r="H46" s="98">
        <f>IF(F46="","",VLOOKUP(F46,'Project List 2026'!A:H,8,0))</f>
        <v>89100541</v>
      </c>
      <c r="J46" s="18">
        <f>IF(F46=""," ",VLOOKUP(F46,'Project List 2026'!A:O,15,0))</f>
        <v>0</v>
      </c>
      <c r="K46" s="18" t="str">
        <f>IF(F46=""," ",VLOOKUP(F46,'Project List 2026'!A:T,9,0))</f>
        <v>Completed</v>
      </c>
      <c r="L46" s="101">
        <f>IF(F46=""," ",VLOOKUP(F46,'Project List 2026'!A:N,14,0))</f>
        <v>1</v>
      </c>
      <c r="M46" s="1">
        <v>0.2</v>
      </c>
      <c r="N46" s="1">
        <v>0.2</v>
      </c>
      <c r="O46" s="1">
        <v>0.2</v>
      </c>
      <c r="P46" s="1">
        <v>0.2</v>
      </c>
      <c r="Q46" s="1">
        <v>0.2</v>
      </c>
      <c r="R46" s="1"/>
      <c r="S46" s="1"/>
      <c r="Y46" s="18" t="str">
        <f>IF(ISNA(VLOOKUP(F46,'Project List 2026'!A:A,1,FALSE)), "No", "Yes")</f>
        <v>Yes</v>
      </c>
    </row>
    <row r="47" spans="1:25" customFormat="1" ht="15">
      <c r="A47" s="18" t="str">
        <f>IF(F47=""," ",VLOOKUP(F47,'Project List 2026'!A:J,3,0))</f>
        <v>Telecoms</v>
      </c>
      <c r="B47" s="18" t="str">
        <f>IF(F47=""," ",VLOOKUP(F47,'Project List 2026'!A:N,4,0))</f>
        <v>Others</v>
      </c>
      <c r="C47" s="16" t="str">
        <f>IF(F47=""," ",VLOOKUP(E47,RefData!AG:AH,2,FALSE))</f>
        <v>Telecoms</v>
      </c>
      <c r="D47" s="18" t="str">
        <f>IF(F47=""," ",VLOOKUP(F47,'Project List 2026'!A:J,5,0))</f>
        <v>Kirill Shabalkin</v>
      </c>
      <c r="E47" t="s">
        <v>250</v>
      </c>
      <c r="F47" s="7" t="s">
        <v>253</v>
      </c>
      <c r="G47" s="18" t="str">
        <f>IF(F47=""," ",VLOOKUP(F47,'Project List 2026'!A:J,6,0))</f>
        <v>Internal</v>
      </c>
      <c r="H47" s="98">
        <f>IF(F47="","",VLOOKUP(F47,'Project List 2026'!A:H,8,0))</f>
        <v>89101178</v>
      </c>
      <c r="J47" s="18">
        <f>IF(F47=""," ",VLOOKUP(F47,'Project List 2026'!A:O,15,0))</f>
        <v>0</v>
      </c>
      <c r="K47" s="18" t="str">
        <f>IF(F47=""," ",VLOOKUP(F47,'Project List 2026'!A:T,9,0))</f>
        <v>Ongoing</v>
      </c>
      <c r="L47" s="101">
        <f>IF(F47=""," ",VLOOKUP(F47,'Project List 2026'!A:N,14,0))</f>
        <v>1</v>
      </c>
      <c r="N47" s="1">
        <v>0.2</v>
      </c>
      <c r="O47" s="1">
        <v>0.2</v>
      </c>
      <c r="P47" s="1">
        <v>0.2</v>
      </c>
      <c r="Q47" s="1">
        <v>0.2</v>
      </c>
      <c r="R47" s="1">
        <v>0.2</v>
      </c>
      <c r="S47" s="1">
        <v>0.2</v>
      </c>
      <c r="T47" s="1">
        <v>0.2</v>
      </c>
      <c r="U47" s="1">
        <v>0.2</v>
      </c>
      <c r="V47" s="1">
        <v>0.2</v>
      </c>
      <c r="W47" s="1">
        <v>0.2</v>
      </c>
      <c r="X47" s="1">
        <v>0.2</v>
      </c>
      <c r="Y47" s="18" t="str">
        <f>IF(ISNA(VLOOKUP(F47,'Project List 2026'!A:A,1,FALSE)), "No", "Yes")</f>
        <v>Yes</v>
      </c>
    </row>
    <row r="48" spans="1:25" ht="15">
      <c r="A48" s="18" t="str">
        <f>IF(F48=""," ",VLOOKUP(F48,'Project List 2026'!A:J,3,0))</f>
        <v>Telecoms</v>
      </c>
      <c r="B48" s="18" t="str">
        <f>IF(F48=""," ",VLOOKUP(F48,'Project List 2026'!A:N,4,0))</f>
        <v>Telecoms</v>
      </c>
      <c r="C48" s="16" t="str">
        <f>IF(F48=""," ",VLOOKUP(E48,RefData!AG:AH,2,FALSE))</f>
        <v>Telecoms</v>
      </c>
      <c r="D48" s="18" t="str">
        <f>IF(F48=""," ",VLOOKUP(F48,'Project List 2026'!A:J,5,0))</f>
        <v>Kirill Shabalkin</v>
      </c>
      <c r="E48" t="s">
        <v>250</v>
      </c>
      <c r="F48" s="7" t="s">
        <v>254</v>
      </c>
      <c r="G48" s="18" t="str">
        <f>IF(F48=""," ",VLOOKUP(F48,'Project List 2026'!A:J,6,0))</f>
        <v>Internal</v>
      </c>
      <c r="H48" s="98">
        <f>IF(F48="","",VLOOKUP(F48,'Project List 2026'!A:H,8,0))</f>
        <v>87101339</v>
      </c>
      <c r="I48"/>
      <c r="J48" s="18">
        <f>IF(F48=""," ",VLOOKUP(F48,'Project List 2026'!A:O,15,0))</f>
        <v>0</v>
      </c>
      <c r="K48" s="18" t="str">
        <f>IF(F48=""," ",VLOOKUP(F48,'Project List 2026'!A:T,9,0))</f>
        <v>Ongoing</v>
      </c>
      <c r="L48" s="101">
        <f>IF(F48=""," ",VLOOKUP(F48,'Project List 2026'!A:N,14,0))</f>
        <v>1</v>
      </c>
      <c r="M48"/>
      <c r="N48" s="1">
        <v>0.2</v>
      </c>
      <c r="O48" s="1">
        <v>0.5</v>
      </c>
      <c r="P48" s="1">
        <v>0.5</v>
      </c>
      <c r="Q48" s="1">
        <v>0.5</v>
      </c>
      <c r="R48" s="1">
        <v>0.5</v>
      </c>
      <c r="S48" s="1">
        <v>0.5</v>
      </c>
      <c r="T48" s="1">
        <v>0.5</v>
      </c>
      <c r="U48" s="1">
        <v>0.5</v>
      </c>
      <c r="V48" s="1">
        <v>0.5</v>
      </c>
      <c r="W48" s="1">
        <v>0.5</v>
      </c>
      <c r="X48" s="1">
        <v>0.5</v>
      </c>
      <c r="Y48" s="18" t="str">
        <f>IF(ISNA(VLOOKUP(F48,'Project List 2026'!A:A,1,FALSE)), "No", "Yes")</f>
        <v>Yes</v>
      </c>
    </row>
    <row r="49" spans="1:25" customFormat="1" ht="15">
      <c r="A49" s="18" t="str">
        <f>IF(F49=""," ",VLOOKUP(F49,'Project List 2026'!A:J,3,0))</f>
        <v>Hosting</v>
      </c>
      <c r="B49" s="18" t="str">
        <f>IF(F49=""," ",VLOOKUP(F49,'Project List 2026'!A:N,4,0))</f>
        <v>SEF</v>
      </c>
      <c r="C49" s="80" t="str">
        <f>IF(F49=""," ",VLOOKUP(E49,RefData!AG:AH,2,FALSE))</f>
        <v>Infra Services</v>
      </c>
      <c r="D49" s="18" t="str">
        <f>IF(F49=""," ",VLOOKUP(F49,'Project List 2026'!A:J,5,0))</f>
        <v>Kristina Fojtkova</v>
      </c>
      <c r="E49" s="73" t="s">
        <v>258</v>
      </c>
      <c r="F49" s="81" t="s">
        <v>257</v>
      </c>
      <c r="G49" s="18" t="str">
        <f>IF(F49=""," ",VLOOKUP(F49,'Project List 2026'!A:J,6,0))</f>
        <v>Internal</v>
      </c>
      <c r="H49" s="98">
        <f>IF(F49="","",VLOOKUP(F49,'Project List 2026'!A:H,8,0))</f>
        <v>87101430</v>
      </c>
      <c r="I49" s="73"/>
      <c r="J49" s="18">
        <f>IF(F49=""," ",VLOOKUP(F49,'Project List 2026'!A:O,15,0))</f>
        <v>304000</v>
      </c>
      <c r="K49" s="18" t="str">
        <f>IF(F49=""," ",VLOOKUP(F49,'Project List 2026'!A:T,9,0))</f>
        <v>Ongoing</v>
      </c>
      <c r="L49" s="101">
        <f>IF(F49=""," ",VLOOKUP(F49,'Project List 2026'!A:N,14,0))</f>
        <v>1</v>
      </c>
      <c r="M49" s="82">
        <v>0.5</v>
      </c>
      <c r="N49" s="82">
        <v>0.5</v>
      </c>
      <c r="O49" s="82">
        <v>0.5</v>
      </c>
      <c r="P49" s="82">
        <v>0.5</v>
      </c>
      <c r="Q49" s="82">
        <v>0.5</v>
      </c>
      <c r="R49" s="82">
        <v>0.5</v>
      </c>
      <c r="S49" s="82">
        <v>0.5</v>
      </c>
      <c r="T49" s="82">
        <v>0.5</v>
      </c>
      <c r="U49" s="82">
        <v>0.5</v>
      </c>
      <c r="V49" s="82">
        <v>0.5</v>
      </c>
      <c r="W49" s="82">
        <v>0.5</v>
      </c>
      <c r="X49" s="82"/>
      <c r="Y49" s="79" t="str">
        <f>IF(ISNA(VLOOKUP(F49,'Project List 2026'!A:A,1,FALSE)), "No", "Yes")</f>
        <v>Yes</v>
      </c>
    </row>
    <row r="50" spans="1:25" customFormat="1" ht="15">
      <c r="A50" s="18" t="str">
        <f>IF(F50=""," ",VLOOKUP(F50,'Project List 2026'!A:J,3,0))</f>
        <v>Hosting</v>
      </c>
      <c r="B50" s="18" t="str">
        <f>IF(F50=""," ",VLOOKUP(F50,'Project List 2026'!A:N,4,0))</f>
        <v>Hosting Programs</v>
      </c>
      <c r="C50" s="80" t="str">
        <f>IF(F50=""," ",VLOOKUP(E50,RefData!AG:AH,2,FALSE))</f>
        <v>Infra Services</v>
      </c>
      <c r="D50" s="18" t="str">
        <f>IF(F50=""," ",VLOOKUP(F50,'Project List 2026'!A:J,5,0))</f>
        <v>Jana Veberova</v>
      </c>
      <c r="E50" s="73" t="s">
        <v>258</v>
      </c>
      <c r="F50" s="7" t="s">
        <v>225</v>
      </c>
      <c r="G50" s="18" t="str">
        <f>IF(F50=""," ",VLOOKUP(F50,'Project List 2026'!A:J,6,0))</f>
        <v>External</v>
      </c>
      <c r="H50" s="98">
        <f>IF(F50="","",VLOOKUP(F50,'Project List 2026'!A:H,8,0))</f>
        <v>31319332</v>
      </c>
      <c r="I50" s="73"/>
      <c r="J50" s="18">
        <f>IF(F50=""," ",VLOOKUP(F50,'Project List 2026'!A:O,15,0))</f>
        <v>321571.20000000001</v>
      </c>
      <c r="K50" s="18" t="str">
        <f>IF(F50=""," ",VLOOKUP(F50,'Project List 2026'!A:T,9,0))</f>
        <v>Ongoing</v>
      </c>
      <c r="L50" s="101">
        <f>IF(F50=""," ",VLOOKUP(F50,'Project List 2026'!A:N,14,0))</f>
        <v>1</v>
      </c>
      <c r="M50" s="82"/>
      <c r="N50" s="82"/>
      <c r="O50" s="82">
        <v>0.5</v>
      </c>
      <c r="P50" s="82">
        <v>0.5</v>
      </c>
      <c r="Q50" s="82">
        <v>0.5</v>
      </c>
      <c r="R50" s="82">
        <v>0.5</v>
      </c>
      <c r="S50" s="82">
        <v>0.5</v>
      </c>
      <c r="T50" s="82">
        <v>0.5</v>
      </c>
      <c r="U50" s="82">
        <v>0.5</v>
      </c>
      <c r="V50" s="82">
        <v>0.5</v>
      </c>
      <c r="W50" s="82">
        <v>0.5</v>
      </c>
      <c r="X50" s="82">
        <v>0.5</v>
      </c>
      <c r="Y50" s="79" t="str">
        <f>IF(ISNA(VLOOKUP(F50,'Project List 2026'!A:A,1,FALSE)), "No", "Yes")</f>
        <v>Yes</v>
      </c>
    </row>
    <row r="51" spans="1:25" customFormat="1" ht="15">
      <c r="A51" s="18" t="str">
        <f>IF(F51=""," ",VLOOKUP(F51,'Project List 2026'!A:J,3,0))</f>
        <v>Hosting</v>
      </c>
      <c r="B51" s="18" t="str">
        <f>IF(F51=""," ",VLOOKUP(F51,'Project List 2026'!A:N,4,0))</f>
        <v>IS - Other</v>
      </c>
      <c r="C51" s="16" t="str">
        <f>IF(F51=""," ",VLOOKUP(E51,RefData!AG:AH,2,FALSE))</f>
        <v>Infra Services</v>
      </c>
      <c r="D51" s="18" t="str">
        <f>IF(F51=""," ",VLOOKUP(F51,'Project List 2026'!A:J,5,0))</f>
        <v>Kristina Fojtkova</v>
      </c>
      <c r="E51" t="s">
        <v>258</v>
      </c>
      <c r="F51" t="s">
        <v>259</v>
      </c>
      <c r="G51" s="18" t="str">
        <f>IF(F51=""," ",VLOOKUP(F51,'Project List 2026'!A:J,6,0))</f>
        <v>External</v>
      </c>
      <c r="H51" s="98" t="str">
        <f>IF(F51="","",VLOOKUP(F51,'Project List 2026'!A:H,8,0))</f>
        <v>31319971 </v>
      </c>
      <c r="I51" s="73"/>
      <c r="J51" s="18">
        <f>IF(F51=""," ",VLOOKUP(F51,'Project List 2026'!A:O,15,0))</f>
        <v>0</v>
      </c>
      <c r="K51" s="18" t="str">
        <f>IF(F51=""," ",VLOOKUP(F51,'Project List 2026'!A:T,9,0))</f>
        <v>Completed</v>
      </c>
      <c r="L51" s="101">
        <f>IF(F51=""," ",VLOOKUP(F51,'Project List 2026'!A:N,14,0))</f>
        <v>1</v>
      </c>
      <c r="M51" s="82">
        <v>0.4</v>
      </c>
      <c r="N51" s="82">
        <v>0.4</v>
      </c>
      <c r="O51" s="82">
        <v>0.4</v>
      </c>
      <c r="P51" s="73"/>
      <c r="Q51" s="73"/>
      <c r="R51" s="73"/>
      <c r="S51" s="73"/>
      <c r="T51" s="73"/>
      <c r="U51" s="73"/>
      <c r="V51" s="73"/>
      <c r="W51" s="73"/>
      <c r="X51" s="73"/>
      <c r="Y51" s="79" t="str">
        <f>IF(ISNA(VLOOKUP(F51,'Project List 2026'!A:A,1,FALSE)), "No", "Yes")</f>
        <v>Yes</v>
      </c>
    </row>
    <row r="52" spans="1:25" customFormat="1" ht="15">
      <c r="A52" s="18" t="str">
        <f>IF(F52=""," ",VLOOKUP(F52,'Project List 2026'!A:J,3,0))</f>
        <v>APAC</v>
      </c>
      <c r="B52" s="18" t="str">
        <f>IF(F52=""," ",VLOOKUP(F52,'Project List 2026'!A:N,4,0))</f>
        <v>IS - Other</v>
      </c>
      <c r="C52" s="16" t="str">
        <f>IF(F52=""," ",VLOOKUP(E52,RefData!AG:AH,2,FALSE))</f>
        <v>Telecoms-APAC</v>
      </c>
      <c r="D52" s="18" t="str">
        <f>IF(F52=""," ",VLOOKUP(F52,'Project List 2026'!A:J,5,0))</f>
        <v>Lisette Fincke</v>
      </c>
      <c r="E52" t="s">
        <v>264</v>
      </c>
      <c r="F52" s="7" t="s">
        <v>263</v>
      </c>
      <c r="G52" s="18" t="str">
        <f>IF(F52=""," ",VLOOKUP(F52,'Project List 2026'!A:J,6,0))</f>
        <v>External</v>
      </c>
      <c r="H52" s="98">
        <f>IF(F52="","",VLOOKUP(F52,'Project List 2026'!A:H,8,0))</f>
        <v>31310721</v>
      </c>
      <c r="J52" s="18">
        <f>IF(F52=""," ",VLOOKUP(F52,'Project List 2026'!A:O,15,0))</f>
        <v>250000</v>
      </c>
      <c r="K52" s="18" t="str">
        <f>IF(F52=""," ",VLOOKUP(F52,'Project List 2026'!A:T,9,0))</f>
        <v>Ongoing</v>
      </c>
      <c r="L52" s="101">
        <f>IF(F52=""," ",VLOOKUP(F52,'Project List 2026'!A:N,14,0))</f>
        <v>1</v>
      </c>
      <c r="M52" s="17">
        <v>0.7</v>
      </c>
      <c r="N52" s="17">
        <v>0.7</v>
      </c>
      <c r="O52" s="17">
        <v>0.7</v>
      </c>
      <c r="P52" s="17">
        <v>0.5</v>
      </c>
      <c r="Q52" s="17">
        <v>0.5</v>
      </c>
      <c r="R52" s="17">
        <v>0.5</v>
      </c>
      <c r="S52" s="17">
        <v>0.2</v>
      </c>
      <c r="T52" s="17">
        <v>0.2</v>
      </c>
      <c r="U52" s="17">
        <v>0.2</v>
      </c>
      <c r="V52" s="17">
        <v>0.2</v>
      </c>
      <c r="W52" s="17">
        <v>0.2</v>
      </c>
      <c r="X52" s="17">
        <v>0.2</v>
      </c>
      <c r="Y52" s="18" t="str">
        <f>IF(ISNA(VLOOKUP(F52,'Project List 2026'!A:A,1,FALSE)), "No", "Yes")</f>
        <v>Yes</v>
      </c>
    </row>
    <row r="53" spans="1:25" customFormat="1" ht="15">
      <c r="A53" s="18" t="str">
        <f>IF(F53=""," ",VLOOKUP(F53,'Project List 2026'!A:J,3,0))</f>
        <v>APAC</v>
      </c>
      <c r="B53" s="18" t="str">
        <f>IF(F53=""," ",VLOOKUP(F53,'Project List 2026'!A:N,4,0))</f>
        <v>Telecoms</v>
      </c>
      <c r="C53" s="16" t="str">
        <f>IF(F53=""," ",VLOOKUP(E53,RefData!AG:AH,2,FALSE))</f>
        <v>Telecoms-APAC</v>
      </c>
      <c r="D53" s="18" t="str">
        <f>IF(F53=""," ",VLOOKUP(F53,'Project List 2026'!A:J,5,0))</f>
        <v>Lisette Fincke</v>
      </c>
      <c r="E53" t="s">
        <v>264</v>
      </c>
      <c r="F53" s="7" t="s">
        <v>267</v>
      </c>
      <c r="G53" s="18" t="str">
        <f>IF(F53=""," ",VLOOKUP(F53,'Project List 2026'!A:J,6,0))</f>
        <v>Internal</v>
      </c>
      <c r="H53" s="98">
        <f>IF(F53="","",VLOOKUP(F53,'Project List 2026'!A:H,8,0))</f>
        <v>0</v>
      </c>
      <c r="J53" s="18">
        <f>IF(F53=""," ",VLOOKUP(F53,'Project List 2026'!A:O,15,0))</f>
        <v>0</v>
      </c>
      <c r="K53" s="18" t="str">
        <f>IF(F53=""," ",VLOOKUP(F53,'Project List 2026'!A:T,9,0))</f>
        <v>Ongoing</v>
      </c>
      <c r="L53" s="101">
        <f>IF(F53=""," ",VLOOKUP(F53,'Project List 2026'!A:N,14,0))</f>
        <v>1</v>
      </c>
      <c r="M53" s="17">
        <v>0.05</v>
      </c>
      <c r="N53" s="17">
        <v>0.05</v>
      </c>
      <c r="O53" s="17">
        <v>0.05</v>
      </c>
      <c r="P53" s="17"/>
      <c r="Q53" s="17"/>
      <c r="R53" s="17"/>
      <c r="S53" s="17"/>
      <c r="T53" s="17"/>
      <c r="U53" s="17"/>
      <c r="V53" s="17"/>
      <c r="W53" s="17"/>
      <c r="X53" s="17"/>
      <c r="Y53" s="18" t="str">
        <f>IF(ISNA(VLOOKUP(F53,'Project List 2026'!A:A,1,FALSE)), "No", "Yes")</f>
        <v>Yes</v>
      </c>
    </row>
    <row r="54" spans="1:25" customFormat="1" ht="15">
      <c r="A54" s="18" t="str">
        <f>IF(F54=""," ",VLOOKUP(F54,'Project List 2026'!A:J,3,0))</f>
        <v>Hosting</v>
      </c>
      <c r="B54" s="18" t="str">
        <f>IF(F54=""," ",VLOOKUP(F54,'Project List 2026'!A:N,4,0))</f>
        <v>Hosting Programs</v>
      </c>
      <c r="C54" s="80" t="str">
        <f>IF(F54=""," ",VLOOKUP(E54,RefData!AG:AH,2,FALSE))</f>
        <v>Infra Services</v>
      </c>
      <c r="D54" s="18" t="str">
        <f>IF(F54=""," ",VLOOKUP(F54,'Project List 2026'!A:J,5,0))</f>
        <v>Katerina Soukupova</v>
      </c>
      <c r="E54" s="73" t="s">
        <v>658</v>
      </c>
      <c r="F54" s="81" t="s">
        <v>244</v>
      </c>
      <c r="G54" s="18" t="str">
        <f>IF(F54=""," ",VLOOKUP(F54,'Project List 2026'!A:J,6,0))</f>
        <v>External</v>
      </c>
      <c r="H54" s="98">
        <f>IF(F54="","",VLOOKUP(F54,'Project List 2026'!A:H,8,0))</f>
        <v>31319957</v>
      </c>
      <c r="I54" s="73"/>
      <c r="J54" s="18">
        <f>IF(F54=""," ",VLOOKUP(F54,'Project List 2026'!A:O,15,0))</f>
        <v>474281</v>
      </c>
      <c r="K54" s="18" t="str">
        <f>IF(F54=""," ",VLOOKUP(F54,'Project List 2026'!A:T,9,0))</f>
        <v>Ongoing</v>
      </c>
      <c r="L54" s="101">
        <f>IF(F54=""," ",VLOOKUP(F54,'Project List 2026'!A:N,14,0))</f>
        <v>1</v>
      </c>
      <c r="M54" s="82">
        <v>0.5</v>
      </c>
      <c r="N54" s="82">
        <v>0.5</v>
      </c>
      <c r="O54" s="82">
        <v>0.5</v>
      </c>
      <c r="P54" s="82">
        <v>0.5</v>
      </c>
      <c r="Q54" s="82">
        <v>0.5</v>
      </c>
      <c r="R54" s="82">
        <v>0.5</v>
      </c>
      <c r="S54" s="82">
        <v>0.5</v>
      </c>
      <c r="T54" s="82">
        <v>0.5</v>
      </c>
      <c r="U54" s="82">
        <v>0.5</v>
      </c>
      <c r="V54" s="82">
        <v>0.5</v>
      </c>
      <c r="W54" s="82">
        <v>0.5</v>
      </c>
      <c r="X54" s="82">
        <v>0.5</v>
      </c>
      <c r="Y54" s="79" t="str">
        <f>IF(ISNA(VLOOKUP(F54,'Project List 2026'!A:A,1,FALSE)), "No", "Yes")</f>
        <v>Yes</v>
      </c>
    </row>
    <row r="55" spans="1:25" customFormat="1" ht="15">
      <c r="A55" s="18" t="str">
        <f>IF(F55=""," ",VLOOKUP(F55,'Project List 2026'!A:J,3,0))</f>
        <v>Hosting</v>
      </c>
      <c r="B55" s="18" t="str">
        <f>IF(F55=""," ",VLOOKUP(F55,'Project List 2026'!A:N,4,0))</f>
        <v>Hosting Programs</v>
      </c>
      <c r="C55" s="16" t="str">
        <f>IF(F55=""," ",VLOOKUP(E55,RefData!AG:AH,2,FALSE))</f>
        <v>Infra Services</v>
      </c>
      <c r="D55" s="18" t="str">
        <f>IF(F55=""," ",VLOOKUP(F55,'Project List 2026'!A:J,5,0))</f>
        <v>Neeraja Duddu</v>
      </c>
      <c r="E55" s="73" t="s">
        <v>658</v>
      </c>
      <c r="F55" t="s">
        <v>308</v>
      </c>
      <c r="G55" s="18" t="str">
        <f>IF(F55=""," ",VLOOKUP(F55,'Project List 2026'!A:J,6,0))</f>
        <v>Internal</v>
      </c>
      <c r="H55" s="98" t="str">
        <f>IF(F55="","",VLOOKUP(F55,'Project List 2026'!A:H,8,0))</f>
        <v>89101263 </v>
      </c>
      <c r="I55" s="73"/>
      <c r="J55" s="18">
        <f>IF(F55=""," ",VLOOKUP(F55,'Project List 2026'!A:O,15,0))</f>
        <v>0</v>
      </c>
      <c r="K55" s="18" t="str">
        <f>IF(F55=""," ",VLOOKUP(F55,'Project List 2026'!A:T,9,0))</f>
        <v>Ongoing</v>
      </c>
      <c r="L55" s="101">
        <f>IF(F55=""," ",VLOOKUP(F55,'Project List 2026'!A:N,14,0))</f>
        <v>1</v>
      </c>
      <c r="M55" s="82">
        <v>0.4</v>
      </c>
      <c r="N55" s="82">
        <v>0.4</v>
      </c>
      <c r="O55" s="82">
        <v>0.4</v>
      </c>
      <c r="P55" s="82">
        <v>0.4</v>
      </c>
      <c r="Q55" s="82">
        <v>0.4</v>
      </c>
      <c r="R55" s="82">
        <v>0.4</v>
      </c>
      <c r="S55" s="82">
        <v>0.4</v>
      </c>
      <c r="T55" s="82">
        <v>0.4</v>
      </c>
      <c r="U55" s="82">
        <v>0.4</v>
      </c>
      <c r="V55" s="82">
        <v>0.4</v>
      </c>
      <c r="W55" s="73"/>
      <c r="X55" s="73"/>
      <c r="Y55" s="79" t="str">
        <f>IF(ISNA(VLOOKUP(F55,'Project List 2026'!A:A,1,FALSE)), "No", "Yes")</f>
        <v>Yes</v>
      </c>
    </row>
    <row r="56" spans="1:25" customFormat="1" ht="15">
      <c r="A56" s="18" t="str">
        <f>IF(F56=""," ",VLOOKUP(F56,'Project List 2026'!A:J,3,0))</f>
        <v>Hosting</v>
      </c>
      <c r="B56" s="18" t="str">
        <f>IF(F56=""," ",VLOOKUP(F56,'Project List 2026'!A:N,4,0))</f>
        <v>IS - Other</v>
      </c>
      <c r="C56" s="16" t="str">
        <f>IF(F56=""," ",VLOOKUP(E56,RefData!AG:AH,2,FALSE))</f>
        <v>Infra Services</v>
      </c>
      <c r="D56" s="18" t="str">
        <f>IF(F56=""," ",VLOOKUP(F56,'Project List 2026'!A:J,5,0))</f>
        <v>Hana Sinska</v>
      </c>
      <c r="E56" s="73" t="s">
        <v>658</v>
      </c>
      <c r="F56" t="s">
        <v>177</v>
      </c>
      <c r="G56" s="18" t="str">
        <f>IF(F56=""," ",VLOOKUP(F56,'Project List 2026'!A:J,6,0))</f>
        <v>Internal</v>
      </c>
      <c r="H56" s="98" t="str">
        <f>IF(F56="","",VLOOKUP(F56,'Project List 2026'!A:H,8,0))</f>
        <v>89101266 </v>
      </c>
      <c r="I56" s="73"/>
      <c r="J56" s="18">
        <f>IF(F56=""," ",VLOOKUP(F56,'Project List 2026'!A:O,15,0))</f>
        <v>13599.16</v>
      </c>
      <c r="K56" s="18" t="str">
        <f>IF(F56=""," ",VLOOKUP(F56,'Project List 2026'!A:T,9,0))</f>
        <v>Ongoing</v>
      </c>
      <c r="L56" s="101">
        <f>IF(F56=""," ",VLOOKUP(F56,'Project List 2026'!A:N,14,0))</f>
        <v>1</v>
      </c>
      <c r="M56" s="82">
        <v>0.15</v>
      </c>
      <c r="N56" s="82">
        <v>0.15</v>
      </c>
      <c r="O56" s="82">
        <v>0.15</v>
      </c>
      <c r="P56" s="82">
        <v>0.15</v>
      </c>
      <c r="Q56" s="82">
        <v>0.15</v>
      </c>
      <c r="R56" s="82">
        <v>0.15</v>
      </c>
      <c r="S56" s="82">
        <v>0.15</v>
      </c>
      <c r="T56" s="82">
        <v>0.15</v>
      </c>
      <c r="U56" s="82">
        <v>0.15</v>
      </c>
      <c r="V56" s="82">
        <v>0.15</v>
      </c>
      <c r="W56" s="82">
        <v>0.15</v>
      </c>
      <c r="X56" s="73"/>
      <c r="Y56" s="79" t="str">
        <f>IF(ISNA(VLOOKUP(F56,'Project List 2026'!A:A,1,FALSE)), "No", "Yes")</f>
        <v>Yes</v>
      </c>
    </row>
    <row r="57" spans="1:25" customFormat="1" ht="15">
      <c r="A57" s="18" t="str">
        <f>IF(F57=""," ",VLOOKUP(F57,'Project List 2026'!A:J,3,0))</f>
        <v>Telecoms</v>
      </c>
      <c r="B57" s="18" t="str">
        <f>IF(F57=""," ",VLOOKUP(F57,'Project List 2026'!A:N,4,0))</f>
        <v>Telecoms</v>
      </c>
      <c r="C57" s="16" t="str">
        <f>IF(F57=""," ",VLOOKUP(E57,RefData!AG:AH,2,FALSE))</f>
        <v>Telecoms</v>
      </c>
      <c r="D57" s="18" t="str">
        <f>IF(F57=""," ",VLOOKUP(F57,'Project List 2026'!A:J,5,0))</f>
        <v>Ludek Houska</v>
      </c>
      <c r="E57" t="s">
        <v>271</v>
      </c>
      <c r="F57" s="7" t="s">
        <v>272</v>
      </c>
      <c r="G57" s="18" t="str">
        <f>IF(F57=""," ",VLOOKUP(F57,'Project List 2026'!A:J,6,0))</f>
        <v>External</v>
      </c>
      <c r="H57" s="98" t="str">
        <f>IF(F57="","",VLOOKUP(F57,'Project List 2026'!A:H,8,0))</f>
        <v>31318081</v>
      </c>
      <c r="J57" s="18">
        <f>IF(F57=""," ",VLOOKUP(F57,'Project List 2026'!A:O,15,0))</f>
        <v>8444</v>
      </c>
      <c r="K57" s="18" t="str">
        <f>IF(F57=""," ",VLOOKUP(F57,'Project List 2026'!A:T,9,0))</f>
        <v>Completed</v>
      </c>
      <c r="L57" s="101">
        <f>IF(F57=""," ",VLOOKUP(F57,'Project List 2026'!A:N,14,0))</f>
        <v>1</v>
      </c>
      <c r="M57" s="1">
        <v>0.2</v>
      </c>
      <c r="N57" s="1">
        <v>0.2</v>
      </c>
      <c r="O57" s="1">
        <v>0.2</v>
      </c>
      <c r="P57" s="1"/>
      <c r="Q57" s="1"/>
      <c r="R57" s="1"/>
      <c r="S57" s="1"/>
      <c r="T57" s="1"/>
      <c r="U57" s="1"/>
      <c r="V57" s="1"/>
      <c r="W57" s="1"/>
      <c r="Y57" s="18" t="str">
        <f>IF(ISNA(VLOOKUP(F57,'Project List 2026'!A:A,1,FALSE)), "No", "Yes")</f>
        <v>Yes</v>
      </c>
    </row>
    <row r="58" spans="1:25" customFormat="1" ht="15">
      <c r="A58" s="18" t="str">
        <f>IF(F58=""," ",VLOOKUP(F58,'Project List 2026'!A:J,3,0))</f>
        <v>Telecoms</v>
      </c>
      <c r="B58" s="18" t="str">
        <f>IF(F58=""," ",VLOOKUP(F58,'Project List 2026'!A:N,4,0))</f>
        <v>Telecoms</v>
      </c>
      <c r="C58" s="16" t="str">
        <f>IF(F58=""," ",VLOOKUP(E58,RefData!AG:AH,2,FALSE))</f>
        <v>Telecoms</v>
      </c>
      <c r="D58" s="18" t="str">
        <f>IF(F58=""," ",VLOOKUP(F58,'Project List 2026'!A:J,5,0))</f>
        <v>Ludek Houska</v>
      </c>
      <c r="E58" t="s">
        <v>271</v>
      </c>
      <c r="F58" s="7" t="s">
        <v>269</v>
      </c>
      <c r="G58" s="18" t="str">
        <f>IF(F58=""," ",VLOOKUP(F58,'Project List 2026'!A:J,6,0))</f>
        <v>Internal</v>
      </c>
      <c r="H58" s="98">
        <f>IF(F58="","",VLOOKUP(F58,'Project List 2026'!A:H,8,0))</f>
        <v>87101349</v>
      </c>
      <c r="J58" s="18">
        <f>IF(F58=""," ",VLOOKUP(F58,'Project List 2026'!A:O,15,0))</f>
        <v>848000</v>
      </c>
      <c r="K58" s="18" t="str">
        <f>IF(F58=""," ",VLOOKUP(F58,'Project List 2026'!A:T,9,0))</f>
        <v>Ongoing</v>
      </c>
      <c r="L58" s="101">
        <f>IF(F58=""," ",VLOOKUP(F58,'Project List 2026'!A:N,14,0))</f>
        <v>1</v>
      </c>
      <c r="M58" s="1">
        <v>0.8</v>
      </c>
      <c r="N58" s="1">
        <v>0.8</v>
      </c>
      <c r="O58" s="1">
        <v>0.8</v>
      </c>
      <c r="P58" s="1">
        <v>0.9</v>
      </c>
      <c r="Q58" s="1">
        <v>0.9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8" t="str">
        <f>IF(ISNA(VLOOKUP(F58,'Project List 2026'!A:A,1,FALSE)), "No", "Yes")</f>
        <v>Yes</v>
      </c>
    </row>
    <row r="59" spans="1:25" customFormat="1" ht="15">
      <c r="A59" s="18" t="str">
        <f>IF(F59=""," ",VLOOKUP(F59,'Project List 2026'!A:J,3,0))</f>
        <v>APAC</v>
      </c>
      <c r="B59" s="18" t="str">
        <f>IF(F59=""," ",VLOOKUP(F59,'Project List 2026'!A:N,4,0))</f>
        <v>Others</v>
      </c>
      <c r="C59" s="16" t="str">
        <f>IF(F59=""," ",VLOOKUP(E59,RefData!AG:AH,2,FALSE))</f>
        <v>Telecoms-APAC</v>
      </c>
      <c r="D59" s="18" t="str">
        <f>IF(F59=""," ",VLOOKUP(F59,'Project List 2026'!A:J,5,0))</f>
        <v>Muhammad Yusry</v>
      </c>
      <c r="E59" t="s">
        <v>277</v>
      </c>
      <c r="F59" s="7" t="s">
        <v>276</v>
      </c>
      <c r="G59" s="18" t="str">
        <f>IF(F59=""," ",VLOOKUP(F59,'Project List 2026'!A:J,6,0))</f>
        <v>Internal</v>
      </c>
      <c r="H59" s="98">
        <f>IF(F59="","",VLOOKUP(F59,'Project List 2026'!A:H,8,0))</f>
        <v>89100881</v>
      </c>
      <c r="J59" s="18">
        <f>IF(F59=""," ",VLOOKUP(F59,'Project List 2026'!A:O,15,0))</f>
        <v>0</v>
      </c>
      <c r="K59" s="18" t="str">
        <f>IF(F59=""," ",VLOOKUP(F59,'Project List 2026'!A:T,9,0))</f>
        <v>Completed</v>
      </c>
      <c r="L59" s="101">
        <f>IF(F59=""," ",VLOOKUP(F59,'Project List 2026'!A:N,14,0))</f>
        <v>1</v>
      </c>
      <c r="M59" s="17">
        <v>0.5</v>
      </c>
      <c r="N59" s="17">
        <v>0.2</v>
      </c>
      <c r="O59" s="17">
        <v>0.1</v>
      </c>
      <c r="P59" s="17"/>
      <c r="Q59" s="17"/>
      <c r="R59" s="17"/>
      <c r="S59" s="17"/>
      <c r="T59" s="17"/>
      <c r="U59" s="17"/>
      <c r="V59" s="17"/>
      <c r="W59" s="17"/>
      <c r="X59" s="17"/>
      <c r="Y59" s="18" t="str">
        <f>IF(ISNA(VLOOKUP(F59,'Project List 2026'!A:A,1,FALSE)), "No", "Yes")</f>
        <v>Yes</v>
      </c>
    </row>
    <row r="60" spans="1:25" customFormat="1" ht="15">
      <c r="A60" s="18" t="str">
        <f>IF(F60=""," ",VLOOKUP(F60,'Project List 2026'!A:J,3,0))</f>
        <v>APAC</v>
      </c>
      <c r="B60" s="18" t="str">
        <f>IF(F60=""," ",VLOOKUP(F60,'Project List 2026'!A:N,4,0))</f>
        <v>Telecoms</v>
      </c>
      <c r="C60" s="16" t="str">
        <f>IF(F60=""," ",VLOOKUP(E60,RefData!AG:AH,2,FALSE))</f>
        <v>Telecoms-APAC</v>
      </c>
      <c r="D60" s="18" t="str">
        <f>IF(F60=""," ",VLOOKUP(F60,'Project List 2026'!A:J,5,0))</f>
        <v>Muhammad Yusry</v>
      </c>
      <c r="E60" t="s">
        <v>277</v>
      </c>
      <c r="F60" t="s">
        <v>279</v>
      </c>
      <c r="G60" s="18" t="str">
        <f>IF(F60=""," ",VLOOKUP(F60,'Project List 2026'!A:J,6,0))</f>
        <v>External</v>
      </c>
      <c r="H60" s="98" t="str">
        <f>IF(F60="","",VLOOKUP(F60,'Project List 2026'!A:H,8,0))</f>
        <v>31319089</v>
      </c>
      <c r="J60" s="18">
        <f>IF(F60=""," ",VLOOKUP(F60,'Project List 2026'!A:O,15,0))</f>
        <v>9575</v>
      </c>
      <c r="K60" s="18" t="str">
        <f>IF(F60=""," ",VLOOKUP(F60,'Project List 2026'!A:T,9,0))</f>
        <v>Completed</v>
      </c>
      <c r="L60" s="101">
        <f>IF(F60=""," ",VLOOKUP(F60,'Project List 2026'!A:N,14,0))</f>
        <v>1</v>
      </c>
      <c r="M60" s="17">
        <v>0.2</v>
      </c>
      <c r="N60" s="17">
        <v>0.2</v>
      </c>
      <c r="O60" s="17">
        <v>0.1</v>
      </c>
      <c r="P60" s="17">
        <v>0.1</v>
      </c>
      <c r="Q60" s="17"/>
      <c r="R60" s="17"/>
      <c r="S60" s="17"/>
      <c r="T60" s="17"/>
      <c r="U60" s="17"/>
      <c r="V60" s="17"/>
      <c r="W60" s="17"/>
      <c r="X60" s="17"/>
      <c r="Y60" s="18" t="str">
        <f>IF(ISNA(VLOOKUP(F60,'Project List 2026'!A:A,1,FALSE)), "No", "Yes")</f>
        <v>Yes</v>
      </c>
    </row>
    <row r="61" spans="1:25" customFormat="1" ht="15">
      <c r="A61" s="18" t="str">
        <f>IF(F61=""," ",VLOOKUP(F61,'Project List 2026'!A:J,3,0))</f>
        <v>APAC</v>
      </c>
      <c r="B61" s="18" t="str">
        <f>IF(F61=""," ",VLOOKUP(F61,'Project List 2026'!A:N,4,0))</f>
        <v>Others</v>
      </c>
      <c r="C61" s="16" t="str">
        <f>IF(F61=""," ",VLOOKUP(E61,RefData!AG:AH,2,FALSE))</f>
        <v>Telecoms-APAC</v>
      </c>
      <c r="D61" s="18" t="str">
        <f>IF(F61=""," ",VLOOKUP(F61,'Project List 2026'!A:J,5,0))</f>
        <v>Muhammad Yusry</v>
      </c>
      <c r="E61" t="s">
        <v>277</v>
      </c>
      <c r="F61" s="73" t="s">
        <v>282</v>
      </c>
      <c r="G61" s="18" t="str">
        <f>IF(F61=""," ",VLOOKUP(F61,'Project List 2026'!A:J,6,0))</f>
        <v>Internal</v>
      </c>
      <c r="H61" s="98">
        <f>IF(F61="","",VLOOKUP(F61,'Project List 2026'!A:H,8,0))</f>
        <v>87101411</v>
      </c>
      <c r="I61" s="73"/>
      <c r="J61" s="18">
        <f>IF(F61=""," ",VLOOKUP(F61,'Project List 2026'!A:O,15,0))</f>
        <v>0</v>
      </c>
      <c r="K61" s="18" t="str">
        <f>IF(F61=""," ",VLOOKUP(F61,'Project List 2026'!A:T,9,0))</f>
        <v>Ongoing</v>
      </c>
      <c r="L61" s="101">
        <f>IF(F61=""," ",VLOOKUP(F61,'Project List 2026'!A:N,14,0))</f>
        <v>1</v>
      </c>
      <c r="M61" s="86"/>
      <c r="N61" s="86">
        <v>0.4</v>
      </c>
      <c r="O61" s="86">
        <v>0.4</v>
      </c>
      <c r="P61" s="86">
        <v>0.4</v>
      </c>
      <c r="Q61" s="86">
        <v>0.4</v>
      </c>
      <c r="R61" s="86">
        <v>0.4</v>
      </c>
      <c r="S61" s="86">
        <v>0.4</v>
      </c>
      <c r="T61" s="73"/>
      <c r="U61" s="73"/>
      <c r="V61" s="73"/>
      <c r="W61" s="73"/>
      <c r="X61" s="73"/>
      <c r="Y61" s="79" t="str">
        <f>IF(ISNA(VLOOKUP(F61,'Project List 2026'!A:A,1,FALSE)), "No", "Yes")</f>
        <v>Yes</v>
      </c>
    </row>
    <row r="62" spans="1:25" customFormat="1" ht="15">
      <c r="A62" s="18" t="str">
        <f>IF(F62=""," ",VLOOKUP(F62,'Project List 2026'!A:J,3,0))</f>
        <v>Telecoms</v>
      </c>
      <c r="B62" s="18" t="str">
        <f>IF(F62=""," ",VLOOKUP(F62,'Project List 2026'!A:N,4,0))</f>
        <v>Telecoms</v>
      </c>
      <c r="C62" s="16" t="str">
        <f>IF(F62=""," ",VLOOKUP(E62,RefData!AG:AH,2,FALSE))</f>
        <v>Telecoms-APAC</v>
      </c>
      <c r="D62" s="18" t="str">
        <f>IF(F62=""," ",VLOOKUP(F62,'Project List 2026'!A:J,5,0))</f>
        <v>Jan Cesnek</v>
      </c>
      <c r="E62" t="s">
        <v>277</v>
      </c>
      <c r="F62" s="19" t="s">
        <v>203</v>
      </c>
      <c r="G62" s="18" t="str">
        <f>IF(F62=""," ",VLOOKUP(F62,'Project List 2026'!A:J,6,0))</f>
        <v>External</v>
      </c>
      <c r="H62" s="98" t="str">
        <f>IF(F62="","",VLOOKUP(F62,'Project List 2026'!A:H,8,0))</f>
        <v>Multiple</v>
      </c>
      <c r="J62" s="18">
        <f>IF(F62=""," ",VLOOKUP(F62,'Project List 2026'!A:O,15,0))</f>
        <v>500000</v>
      </c>
      <c r="K62" s="18" t="str">
        <f>IF(F62=""," ",VLOOKUP(F62,'Project List 2026'!A:T,9,0))</f>
        <v>Ongoing</v>
      </c>
      <c r="L62" s="101">
        <f>IF(F62=""," ",VLOOKUP(F62,'Project List 2026'!A:N,14,0))</f>
        <v>1</v>
      </c>
      <c r="M62" s="17">
        <v>0.2</v>
      </c>
      <c r="N62" s="17">
        <v>0.2</v>
      </c>
      <c r="O62" s="17">
        <v>0.3</v>
      </c>
      <c r="P62" s="17">
        <v>0.3</v>
      </c>
      <c r="Q62" s="17">
        <v>0.5</v>
      </c>
      <c r="R62" s="17">
        <v>0.5</v>
      </c>
      <c r="S62" s="17">
        <v>0.5</v>
      </c>
      <c r="T62" s="17">
        <v>0.5</v>
      </c>
      <c r="U62" s="17">
        <v>0.5</v>
      </c>
      <c r="V62" s="17">
        <v>0.5</v>
      </c>
      <c r="W62" s="17">
        <v>0.5</v>
      </c>
      <c r="X62" s="17">
        <v>0.5</v>
      </c>
      <c r="Y62" s="18" t="str">
        <f>IF(ISNA(VLOOKUP(F62,'Project List 2026'!A:A,1,FALSE)), "No", "Yes")</f>
        <v>Yes</v>
      </c>
    </row>
    <row r="63" spans="1:25" customFormat="1" ht="15">
      <c r="A63" s="18" t="str">
        <f>IF(F63=""," ",VLOOKUP(F63,'Project List 2026'!A:J,3,0))</f>
        <v>APAC</v>
      </c>
      <c r="B63" s="18" t="str">
        <f>IF(F63=""," ",VLOOKUP(F63,'Project List 2026'!A:N,4,0))</f>
        <v>DWS</v>
      </c>
      <c r="C63" s="16" t="str">
        <f>IF(F63=""," ",VLOOKUP(E63,RefData!AG:AH,2,FALSE))</f>
        <v>Telecoms-APAC</v>
      </c>
      <c r="D63" s="18" t="str">
        <f>IF(F63=""," ",VLOOKUP(F63,'Project List 2026'!A:J,5,0))</f>
        <v>Muthu Ramasamy</v>
      </c>
      <c r="E63" t="s">
        <v>659</v>
      </c>
      <c r="F63" s="7" t="s">
        <v>288</v>
      </c>
      <c r="G63" s="18" t="str">
        <f>IF(F63=""," ",VLOOKUP(F63,'Project List 2026'!A:J,6,0))</f>
        <v>External</v>
      </c>
      <c r="H63" s="98">
        <f>IF(F63="","",VLOOKUP(F63,'Project List 2026'!A:H,8,0))</f>
        <v>89101048</v>
      </c>
      <c r="J63" s="18">
        <f>IF(F63=""," ",VLOOKUP(F63,'Project List 2026'!A:O,15,0))</f>
        <v>0</v>
      </c>
      <c r="K63" s="18" t="str">
        <f>IF(F63=""," ",VLOOKUP(F63,'Project List 2026'!A:T,9,0))</f>
        <v>Ongoing</v>
      </c>
      <c r="L63" s="101">
        <f>IF(F63=""," ",VLOOKUP(F63,'Project List 2026'!A:N,14,0))</f>
        <v>1</v>
      </c>
      <c r="M63" s="17">
        <v>0.6</v>
      </c>
      <c r="N63" s="17">
        <v>0.6</v>
      </c>
      <c r="O63" s="17">
        <v>0.6</v>
      </c>
      <c r="P63" s="17">
        <v>0.6</v>
      </c>
      <c r="Q63" s="17">
        <v>0.6</v>
      </c>
      <c r="R63" s="17">
        <v>0.6</v>
      </c>
      <c r="S63" s="17">
        <v>0.6</v>
      </c>
      <c r="T63" s="17">
        <v>0.6</v>
      </c>
      <c r="U63" s="17">
        <v>0.6</v>
      </c>
      <c r="V63" s="17">
        <v>0.6</v>
      </c>
      <c r="W63" s="17">
        <v>0.6</v>
      </c>
      <c r="X63" s="17"/>
      <c r="Y63" s="18" t="str">
        <f>IF(ISNA(VLOOKUP(F63,'Project List 2026'!A:A,1,FALSE)), "No", "Yes")</f>
        <v>Yes</v>
      </c>
    </row>
    <row r="64" spans="1:25" customFormat="1" ht="15">
      <c r="A64" s="18" t="str">
        <f>IF(F64=""," ",VLOOKUP(F64,'Project List 2026'!A:J,3,0))</f>
        <v>APAC</v>
      </c>
      <c r="B64" s="18" t="str">
        <f>IF(F64=""," ",VLOOKUP(F64,'Project List 2026'!A:N,4,0))</f>
        <v>Telecoms</v>
      </c>
      <c r="C64" s="16" t="str">
        <f>IF(F64=""," ",VLOOKUP(E64,RefData!AG:AH,2,FALSE))</f>
        <v>Telecoms-APAC</v>
      </c>
      <c r="D64" s="18" t="str">
        <f>IF(F64=""," ",VLOOKUP(F64,'Project List 2026'!A:J,5,0))</f>
        <v>Muthu Ramasamy</v>
      </c>
      <c r="E64" t="s">
        <v>659</v>
      </c>
      <c r="F64" s="7" t="s">
        <v>291</v>
      </c>
      <c r="G64" s="18" t="str">
        <f>IF(F64=""," ",VLOOKUP(F64,'Project List 2026'!A:J,6,0))</f>
        <v>External</v>
      </c>
      <c r="H64" s="98">
        <f>IF(F64="","",VLOOKUP(F64,'Project List 2026'!A:H,8,0))</f>
        <v>31319580</v>
      </c>
      <c r="J64" s="18">
        <f>IF(F64=""," ",VLOOKUP(F64,'Project List 2026'!A:O,15,0))</f>
        <v>7294</v>
      </c>
      <c r="K64" s="18" t="str">
        <f>IF(F64=""," ",VLOOKUP(F64,'Project List 2026'!A:T,9,0))</f>
        <v>Ongoing</v>
      </c>
      <c r="L64" s="101">
        <f>IF(F64=""," ",VLOOKUP(F64,'Project List 2026'!A:N,14,0))</f>
        <v>1</v>
      </c>
      <c r="M64" s="17">
        <v>0.2</v>
      </c>
      <c r="N64" s="17">
        <v>0.2</v>
      </c>
      <c r="O64" s="17">
        <v>0.2</v>
      </c>
      <c r="P64" s="17">
        <v>0.2</v>
      </c>
      <c r="Q64" s="17"/>
      <c r="R64" s="17"/>
      <c r="S64" s="17"/>
      <c r="T64" s="17"/>
      <c r="U64" s="17"/>
      <c r="V64" s="17"/>
      <c r="W64" s="17"/>
      <c r="X64" s="17"/>
      <c r="Y64" s="18" t="str">
        <f>IF(ISNA(VLOOKUP(F64,'Project List 2026'!A:A,1,FALSE)), "No", "Yes")</f>
        <v>Yes</v>
      </c>
    </row>
    <row r="65" spans="1:25" customFormat="1" ht="15">
      <c r="A65" s="18" t="str">
        <f>IF(F65=""," ",VLOOKUP(F65,'Project List 2026'!A:J,3,0))</f>
        <v>Hosting</v>
      </c>
      <c r="B65" s="18" t="str">
        <f>IF(F65=""," ",VLOOKUP(F65,'Project List 2026'!A:N,4,0))</f>
        <v>IS - Other</v>
      </c>
      <c r="C65" s="80" t="str">
        <f>IF(F65=""," ",VLOOKUP(E65,RefData!AG:AH,2,FALSE))</f>
        <v>Infra Services</v>
      </c>
      <c r="D65" s="18" t="str">
        <f>IF(F65=""," ",VLOOKUP(F65,'Project List 2026'!A:J,5,0))</f>
        <v>Neeraja Duddu</v>
      </c>
      <c r="E65" s="73" t="s">
        <v>299</v>
      </c>
      <c r="F65" s="81" t="s">
        <v>298</v>
      </c>
      <c r="G65" s="18" t="str">
        <f>IF(F65=""," ",VLOOKUP(F65,'Project List 2026'!A:J,6,0))</f>
        <v>Internal</v>
      </c>
      <c r="H65" s="98">
        <f>IF(F65="","",VLOOKUP(F65,'Project List 2026'!A:H,8,0))</f>
        <v>87101362</v>
      </c>
      <c r="I65" s="73"/>
      <c r="J65" s="18">
        <f>IF(F65=""," ",VLOOKUP(F65,'Project List 2026'!A:O,15,0))</f>
        <v>71551.11</v>
      </c>
      <c r="K65" s="18" t="str">
        <f>IF(F65=""," ",VLOOKUP(F65,'Project List 2026'!A:T,9,0))</f>
        <v>Completed</v>
      </c>
      <c r="L65" s="101">
        <f>IF(F65=""," ",VLOOKUP(F65,'Project List 2026'!A:N,14,0))</f>
        <v>1</v>
      </c>
      <c r="M65" s="82">
        <v>0.5</v>
      </c>
      <c r="N65" s="82">
        <v>0.5</v>
      </c>
      <c r="O65" s="82">
        <v>0.5</v>
      </c>
      <c r="P65" s="82">
        <v>0.5</v>
      </c>
      <c r="Q65" s="82">
        <v>0.5</v>
      </c>
      <c r="R65" s="82">
        <v>0.5</v>
      </c>
      <c r="S65" s="82">
        <v>0.3</v>
      </c>
      <c r="T65" s="73"/>
      <c r="U65" s="73"/>
      <c r="V65" s="73"/>
      <c r="W65" s="73"/>
      <c r="X65" s="73"/>
      <c r="Y65" s="79" t="str">
        <f>IF(ISNA(VLOOKUP(F65,'Project List 2026'!A:A,1,FALSE)), "No", "Yes")</f>
        <v>Yes</v>
      </c>
    </row>
    <row r="66" spans="1:25" ht="15">
      <c r="A66" s="18" t="str">
        <f>IF(F66=""," ",VLOOKUP(F66,'Project List 2026'!A:J,3,0))</f>
        <v>Hosting</v>
      </c>
      <c r="B66" s="18" t="str">
        <f>IF(F66=""," ",VLOOKUP(F66,'Project List 2026'!A:N,4,0))</f>
        <v>Hosting Programs</v>
      </c>
      <c r="C66" s="16" t="str">
        <f>IF(F66=""," ",VLOOKUP(E66,RefData!AG:AH,2,FALSE))</f>
        <v>Infra Services</v>
      </c>
      <c r="D66" s="18" t="str">
        <f>IF(F66=""," ",VLOOKUP(F66,'Project List 2026'!A:J,5,0))</f>
        <v>Neeraja Duddu</v>
      </c>
      <c r="E66" s="73" t="s">
        <v>299</v>
      </c>
      <c r="F66" t="s">
        <v>308</v>
      </c>
      <c r="G66" s="18" t="str">
        <f>IF(F66=""," ",VLOOKUP(F66,'Project List 2026'!A:J,6,0))</f>
        <v>Internal</v>
      </c>
      <c r="H66" s="98" t="str">
        <f>IF(F66="","",VLOOKUP(F66,'Project List 2026'!A:H,8,0))</f>
        <v>89101263 </v>
      </c>
      <c r="J66" s="18">
        <f>IF(F66=""," ",VLOOKUP(F66,'Project List 2026'!A:O,15,0))</f>
        <v>0</v>
      </c>
      <c r="K66" s="18" t="str">
        <f>IF(F66=""," ",VLOOKUP(F66,'Project List 2026'!A:T,9,0))</f>
        <v>Ongoing</v>
      </c>
      <c r="L66" s="101">
        <f>IF(F66=""," ",VLOOKUP(F66,'Project List 2026'!A:N,14,0))</f>
        <v>1</v>
      </c>
      <c r="M66" s="82">
        <v>0.4</v>
      </c>
      <c r="N66" s="82">
        <v>0.4</v>
      </c>
      <c r="O66" s="82">
        <v>0.4</v>
      </c>
      <c r="P66" s="82">
        <v>0.4</v>
      </c>
      <c r="Q66" s="82">
        <v>0.4</v>
      </c>
      <c r="R66" s="82">
        <v>0.4</v>
      </c>
      <c r="S66" s="82">
        <v>0.3</v>
      </c>
      <c r="U66" s="82">
        <v>0.5</v>
      </c>
      <c r="V66" s="82">
        <v>0.5</v>
      </c>
      <c r="W66" s="82">
        <v>0.5</v>
      </c>
      <c r="X66" s="82">
        <v>0.5</v>
      </c>
      <c r="Y66" s="79" t="str">
        <f>IF(ISNA(VLOOKUP(F66,'Project List 2026'!A:A,1,FALSE)), "No", "Yes")</f>
        <v>Yes</v>
      </c>
    </row>
    <row r="67" spans="1:25" ht="15">
      <c r="A67" s="18" t="str">
        <f>IF(F67=""," ",VLOOKUP(F67,'Project List 2026'!A:J,3,0))</f>
        <v>APAC</v>
      </c>
      <c r="B67" s="18" t="str">
        <f>IF(F67=""," ",VLOOKUP(F67,'Project List 2026'!A:N,4,0))</f>
        <v>SEF</v>
      </c>
      <c r="C67" s="16" t="str">
        <f>IF(F67=""," ",VLOOKUP(E67,RefData!AG:AH,2,FALSE))</f>
        <v>Telecoms-APAC</v>
      </c>
      <c r="D67" s="18" t="str">
        <f>IF(F67=""," ",VLOOKUP(F67,'Project List 2026'!A:J,5,0))</f>
        <v>Prosen Chandra</v>
      </c>
      <c r="E67" t="s">
        <v>313</v>
      </c>
      <c r="F67" s="7" t="s">
        <v>311</v>
      </c>
      <c r="G67" s="18" t="str">
        <f>IF(F67=""," ",VLOOKUP(F67,'Project List 2026'!A:J,6,0))</f>
        <v>Internal</v>
      </c>
      <c r="H67" s="98">
        <f>IF(F67="","",VLOOKUP(F67,'Project List 2026'!A:H,8,0))</f>
        <v>87101290</v>
      </c>
      <c r="I67"/>
      <c r="J67" s="18">
        <f>IF(F67=""," ",VLOOKUP(F67,'Project List 2026'!A:O,15,0))</f>
        <v>222000</v>
      </c>
      <c r="K67" s="18" t="str">
        <f>IF(F67=""," ",VLOOKUP(F67,'Project List 2026'!A:T,9,0))</f>
        <v>Ongoing</v>
      </c>
      <c r="L67" s="101">
        <f>IF(F67=""," ",VLOOKUP(F67,'Project List 2026'!A:N,14,0))</f>
        <v>1</v>
      </c>
      <c r="M67" s="17">
        <v>0.6</v>
      </c>
      <c r="N67" s="17">
        <v>0.6</v>
      </c>
      <c r="O67" s="17">
        <v>0.6</v>
      </c>
      <c r="P67" s="17">
        <v>0.6</v>
      </c>
      <c r="Q67" s="17">
        <v>0.6</v>
      </c>
      <c r="R67" s="17">
        <v>0.6</v>
      </c>
      <c r="S67" s="17">
        <v>0.6</v>
      </c>
      <c r="T67" s="17">
        <v>0.6</v>
      </c>
      <c r="U67" s="17">
        <v>0.6</v>
      </c>
      <c r="V67" s="17">
        <v>0.6</v>
      </c>
      <c r="W67" s="17">
        <v>0.6</v>
      </c>
      <c r="X67" s="17">
        <v>0.6</v>
      </c>
      <c r="Y67" s="18" t="str">
        <f>IF(ISNA(VLOOKUP(F67,'Project List 2026'!A:A,1,FALSE)), "No", "Yes")</f>
        <v>Yes</v>
      </c>
    </row>
    <row r="68" spans="1:25" ht="15">
      <c r="A68" s="18" t="str">
        <f>IF(F68=""," ",VLOOKUP(F68,'Project List 2026'!A:J,3,0))</f>
        <v>APAC</v>
      </c>
      <c r="B68" s="18" t="str">
        <f>IF(F68=""," ",VLOOKUP(F68,'Project List 2026'!A:N,4,0))</f>
        <v>Hosting Programs</v>
      </c>
      <c r="C68" s="16" t="str">
        <f>IF(F68=""," ",VLOOKUP(E68,RefData!AG:AH,2,FALSE))</f>
        <v>Telecoms-APAC</v>
      </c>
      <c r="D68" s="18" t="str">
        <f>IF(F68=""," ",VLOOKUP(F68,'Project List 2026'!A:J,5,0))</f>
        <v>Prosen Chandra</v>
      </c>
      <c r="E68" t="s">
        <v>313</v>
      </c>
      <c r="F68" s="7" t="s">
        <v>316</v>
      </c>
      <c r="G68" s="18" t="str">
        <f>IF(F68=""," ",VLOOKUP(F68,'Project List 2026'!A:J,6,0))</f>
        <v>Internal</v>
      </c>
      <c r="H68" s="98" t="str">
        <f>IF(F68="","",VLOOKUP(F68,'Project List 2026'!A:H,8,0))</f>
        <v>89100562 </v>
      </c>
      <c r="I68"/>
      <c r="J68" s="18">
        <f>IF(F68=""," ",VLOOKUP(F68,'Project List 2026'!A:O,15,0))</f>
        <v>0</v>
      </c>
      <c r="K68" s="18" t="str">
        <f>IF(F68=""," ",VLOOKUP(F68,'Project List 2026'!A:T,9,0))</f>
        <v>Completed</v>
      </c>
      <c r="L68" s="101">
        <f>IF(F68=""," ",VLOOKUP(F68,'Project List 2026'!A:N,14,0))</f>
        <v>1</v>
      </c>
      <c r="M68" s="17">
        <v>0.1</v>
      </c>
      <c r="N68" s="17">
        <v>0.1</v>
      </c>
      <c r="O68" s="17">
        <v>0.1</v>
      </c>
      <c r="P68" s="17">
        <v>0.1</v>
      </c>
      <c r="Q68" s="17"/>
      <c r="R68" s="17"/>
      <c r="S68" s="17"/>
      <c r="T68" s="17"/>
      <c r="U68" s="17"/>
      <c r="V68" s="17"/>
      <c r="W68" s="17"/>
      <c r="X68" s="17"/>
      <c r="Y68" s="18" t="str">
        <f>IF(ISNA(VLOOKUP(F68,'Project List 2026'!A:A,1,FALSE)), "No", "Yes")</f>
        <v>Yes</v>
      </c>
    </row>
    <row r="69" spans="1:25" ht="15" customHeight="1">
      <c r="A69" s="18" t="str">
        <f>IF(F69=""," ",VLOOKUP(F69,'Project List 2026'!A:J,3,0))</f>
        <v>APAC</v>
      </c>
      <c r="B69" s="18" t="str">
        <f>IF(F69=""," ",VLOOKUP(F69,'Project List 2026'!A:N,4,0))</f>
        <v>IS - Other</v>
      </c>
      <c r="C69" s="16" t="str">
        <f>IF(F69=""," ",VLOOKUP(E69,RefData!AG:AH,2,FALSE))</f>
        <v>Telecoms-APAC</v>
      </c>
      <c r="D69" s="18" t="str">
        <f>IF(F69=""," ",VLOOKUP(F69,'Project List 2026'!A:J,5,0))</f>
        <v>Prosen Chandra</v>
      </c>
      <c r="E69" t="s">
        <v>313</v>
      </c>
      <c r="F69" s="7" t="s">
        <v>319</v>
      </c>
      <c r="G69" s="18" t="str">
        <f>IF(F69=""," ",VLOOKUP(F69,'Project List 2026'!A:J,6,0))</f>
        <v>Internal</v>
      </c>
      <c r="H69" s="98">
        <f>IF(F69="","",VLOOKUP(F69,'Project List 2026'!A:H,8,0))</f>
        <v>89100958</v>
      </c>
      <c r="I69"/>
      <c r="J69" s="18">
        <f>IF(F69=""," ",VLOOKUP(F69,'Project List 2026'!A:O,15,0))</f>
        <v>0</v>
      </c>
      <c r="K69" s="18" t="str">
        <f>IF(F69=""," ",VLOOKUP(F69,'Project List 2026'!A:T,9,0))</f>
        <v>Ongoing</v>
      </c>
      <c r="L69" s="101">
        <f>IF(F69=""," ",VLOOKUP(F69,'Project List 2026'!A:N,14,0))</f>
        <v>1</v>
      </c>
      <c r="M69" s="17">
        <v>0.1</v>
      </c>
      <c r="N69" s="17">
        <v>0.1</v>
      </c>
      <c r="O69" s="17">
        <v>0.1</v>
      </c>
      <c r="P69" s="17">
        <v>0.1</v>
      </c>
      <c r="Q69" s="17"/>
      <c r="R69" s="17"/>
      <c r="S69" s="17"/>
      <c r="T69" s="17"/>
      <c r="U69" s="17"/>
      <c r="V69" s="17"/>
      <c r="W69" s="17"/>
      <c r="X69" s="17"/>
      <c r="Y69" s="18" t="str">
        <f>IF(ISNA(VLOOKUP(F69,'Project List 2026'!A:A,1,FALSE)), "No", "Yes")</f>
        <v>Yes</v>
      </c>
    </row>
    <row r="70" spans="1:25" customFormat="1" ht="15">
      <c r="A70" s="18" t="str">
        <f>IF(F70=""," ",VLOOKUP(F70,'Project List 2026'!A:J,3,0))</f>
        <v>Hosting</v>
      </c>
      <c r="B70" s="18" t="str">
        <f>IF(F70=""," ",VLOOKUP(F70,'Project List 2026'!A:N,4,0))</f>
        <v>Hosting Programs</v>
      </c>
      <c r="C70" s="16" t="str">
        <f>IF(F70=""," ",VLOOKUP(E70,RefData!AG:AH,2,FALSE))</f>
        <v>Telecoms-APAC</v>
      </c>
      <c r="D70" s="18" t="str">
        <f>IF(F70=""," ",VLOOKUP(F70,'Project List 2026'!A:J,5,0))</f>
        <v>Katerina Soukupova</v>
      </c>
      <c r="E70" t="s">
        <v>313</v>
      </c>
      <c r="F70" s="19" t="s">
        <v>244</v>
      </c>
      <c r="G70" s="18" t="str">
        <f>IF(F70=""," ",VLOOKUP(F70,'Project List 2026'!A:J,6,0))</f>
        <v>External</v>
      </c>
      <c r="H70" s="98">
        <f>IF(F70="","",VLOOKUP(F70,'Project List 2026'!A:H,8,0))</f>
        <v>31319957</v>
      </c>
      <c r="J70" s="18">
        <f>IF(F70=""," ",VLOOKUP(F70,'Project List 2026'!A:O,15,0))</f>
        <v>474281</v>
      </c>
      <c r="K70" s="18" t="str">
        <f>IF(F70=""," ",VLOOKUP(F70,'Project List 2026'!A:T,9,0))</f>
        <v>Ongoing</v>
      </c>
      <c r="L70" s="101">
        <f>IF(F70=""," ",VLOOKUP(F70,'Project List 2026'!A:N,14,0))</f>
        <v>1</v>
      </c>
      <c r="N70" s="17">
        <v>0.2</v>
      </c>
      <c r="O70" s="17">
        <v>0.2</v>
      </c>
      <c r="P70" s="17">
        <v>0.2</v>
      </c>
      <c r="Q70" s="17">
        <v>0.2</v>
      </c>
      <c r="R70" s="17">
        <v>0.2</v>
      </c>
      <c r="S70" s="17">
        <v>0.2</v>
      </c>
      <c r="T70" s="17">
        <v>0.2</v>
      </c>
      <c r="U70" s="17">
        <v>0.2</v>
      </c>
      <c r="V70" s="17">
        <v>0.2</v>
      </c>
      <c r="W70" s="17">
        <v>0.2</v>
      </c>
      <c r="X70" s="17">
        <v>0.2</v>
      </c>
      <c r="Y70" s="18" t="str">
        <f>IF(ISNA(VLOOKUP(F70,'Project List 2026'!A:A,1,FALSE)), "No", "Yes")</f>
        <v>Yes</v>
      </c>
    </row>
    <row r="71" spans="1:25" customFormat="1" ht="15">
      <c r="A71" s="18" t="str">
        <f>IF(F71=""," ",VLOOKUP(F71,'Project List 2026'!A:J,3,0))</f>
        <v>Telecoms</v>
      </c>
      <c r="B71" s="18" t="str">
        <f>IF(F71=""," ",VLOOKUP(F71,'Project List 2026'!A:N,4,0))</f>
        <v>SEF</v>
      </c>
      <c r="C71" s="16" t="str">
        <f>IF(F71=""," ",VLOOKUP(E71,RefData!AG:AH,2,FALSE))</f>
        <v>Telecoms</v>
      </c>
      <c r="D71" s="18" t="str">
        <f>IF(F71=""," ",VLOOKUP(F71,'Project List 2026'!A:J,5,0))</f>
        <v>Jaroslav Kral</v>
      </c>
      <c r="E71" t="s">
        <v>325</v>
      </c>
      <c r="F71" t="s">
        <v>322</v>
      </c>
      <c r="G71" s="18" t="str">
        <f>IF(F71=""," ",VLOOKUP(F71,'Project List 2026'!A:J,6,0))</f>
        <v>Internal</v>
      </c>
      <c r="H71" s="98">
        <f>IF(F71="","",VLOOKUP(F71,'Project List 2026'!A:H,8,0))</f>
        <v>87101427</v>
      </c>
      <c r="J71" s="18">
        <f>IF(F71=""," ",VLOOKUP(F71,'Project List 2026'!A:O,15,0))</f>
        <v>999000</v>
      </c>
      <c r="K71" s="18" t="str">
        <f>IF(F71=""," ",VLOOKUP(F71,'Project List 2026'!A:T,9,0))</f>
        <v>Ongoing</v>
      </c>
      <c r="L71" s="101">
        <f>IF(F71=""," ",VLOOKUP(F71,'Project List 2026'!A:N,14,0))</f>
        <v>1</v>
      </c>
      <c r="M71" s="1">
        <v>0.8</v>
      </c>
      <c r="N71" s="1">
        <v>0.8</v>
      </c>
      <c r="O71" s="1">
        <v>0.8</v>
      </c>
      <c r="P71" s="1">
        <v>0.8</v>
      </c>
      <c r="Q71" s="1">
        <v>0.8</v>
      </c>
      <c r="R71" s="1">
        <v>0.8</v>
      </c>
      <c r="S71" s="1">
        <v>0.8</v>
      </c>
      <c r="T71" s="1">
        <v>0.8</v>
      </c>
      <c r="U71" s="1">
        <v>0.8</v>
      </c>
      <c r="V71" s="1">
        <v>0.8</v>
      </c>
      <c r="W71" s="1">
        <v>0.8</v>
      </c>
      <c r="X71" s="1">
        <v>0.8</v>
      </c>
      <c r="Y71" s="18" t="str">
        <f>IF(ISNA(VLOOKUP(F71,'Project List 2026'!A:A,1,FALSE)), "No", "Yes")</f>
        <v>Yes</v>
      </c>
    </row>
    <row r="72" spans="1:25" customFormat="1" ht="15">
      <c r="A72" s="18" t="str">
        <f>IF(F72=""," ",VLOOKUP(F72,'Project List 2026'!A:J,3,0))</f>
        <v>Telecoms</v>
      </c>
      <c r="B72" s="18" t="str">
        <f>IF(F72=""," ",VLOOKUP(F72,'Project List 2026'!A:N,4,0))</f>
        <v>Telecoms</v>
      </c>
      <c r="C72" s="16" t="str">
        <f>IF(F72=""," ",VLOOKUP(E72,RefData!AG:AH,2,FALSE))</f>
        <v>Telecoms</v>
      </c>
      <c r="D72" s="18" t="str">
        <f>IF(F72=""," ",VLOOKUP(F72,'Project List 2026'!A:J,5,0))</f>
        <v>Rene Zamecnik</v>
      </c>
      <c r="E72" t="s">
        <v>325</v>
      </c>
      <c r="F72" t="s">
        <v>323</v>
      </c>
      <c r="G72" s="18" t="str">
        <f>IF(F72=""," ",VLOOKUP(F72,'Project List 2026'!A:J,6,0))</f>
        <v>Internal</v>
      </c>
      <c r="H72" s="98">
        <f>IF(F72="","",VLOOKUP(F72,'Project List 2026'!A:H,8,0))</f>
        <v>87002025</v>
      </c>
      <c r="J72" s="18">
        <f>IF(F72=""," ",VLOOKUP(F72,'Project List 2026'!A:O,15,0))</f>
        <v>49905</v>
      </c>
      <c r="K72" s="18" t="str">
        <f>IF(F72=""," ",VLOOKUP(F72,'Project List 2026'!A:T,9,0))</f>
        <v>Ongoing</v>
      </c>
      <c r="L72" s="101">
        <f>IF(F72=""," ",VLOOKUP(F72,'Project List 2026'!A:N,14,0))</f>
        <v>1</v>
      </c>
      <c r="M72" s="1">
        <v>0.2</v>
      </c>
      <c r="N72" s="1">
        <v>0.2</v>
      </c>
      <c r="O72" s="1">
        <v>0.2</v>
      </c>
      <c r="P72" s="1">
        <v>0.2</v>
      </c>
      <c r="Q72" s="1">
        <v>0.2</v>
      </c>
      <c r="R72" s="1">
        <v>0.2</v>
      </c>
      <c r="S72" s="1"/>
      <c r="T72" s="1"/>
      <c r="U72" s="1"/>
      <c r="V72" s="1"/>
      <c r="W72" s="1"/>
      <c r="X72" s="1"/>
      <c r="Y72" s="18" t="str">
        <f>IF(ISNA(VLOOKUP(F72,'Project List 2026'!A:A,1,FALSE)), "No", "Yes")</f>
        <v>Yes</v>
      </c>
    </row>
    <row r="73" spans="1:25" customFormat="1" ht="15">
      <c r="A73" s="18" t="str">
        <f>IF(F73=""," ",VLOOKUP(F73,'Project List 2026'!A:J,3,0))</f>
        <v>Telecoms</v>
      </c>
      <c r="B73" s="18" t="str">
        <f>IF(F73=""," ",VLOOKUP(F73,'Project List 2026'!A:N,4,0))</f>
        <v>Telecoms</v>
      </c>
      <c r="C73" s="16" t="str">
        <f>IF(F73=""," ",VLOOKUP(E73,RefData!AG:AH,2,FALSE))</f>
        <v>Telecoms</v>
      </c>
      <c r="D73" s="18" t="str">
        <f>IF(F73=""," ",VLOOKUP(F73,'Project List 2026'!A:J,5,0))</f>
        <v>Alina Nosulych</v>
      </c>
      <c r="E73" t="s">
        <v>325</v>
      </c>
      <c r="F73" t="s">
        <v>326</v>
      </c>
      <c r="G73" s="18" t="str">
        <f>IF(F73=""," ",VLOOKUP(F73,'Project List 2026'!A:J,6,0))</f>
        <v>Internal</v>
      </c>
      <c r="H73" s="98">
        <f>IF(F73="","",VLOOKUP(F73,'Project List 2026'!A:H,8,0))</f>
        <v>89100826</v>
      </c>
      <c r="J73" s="18">
        <f>IF(F73=""," ",VLOOKUP(F73,'Project List 2026'!A:O,15,0))</f>
        <v>0</v>
      </c>
      <c r="K73" s="18" t="str">
        <f>IF(F73=""," ",VLOOKUP(F73,'Project List 2026'!A:T,9,0))</f>
        <v>Ongoing</v>
      </c>
      <c r="L73" s="101">
        <f>IF(F73=""," ",VLOOKUP(F73,'Project List 2026'!A:N,14,0))</f>
        <v>1</v>
      </c>
      <c r="N73" s="17">
        <v>0.15</v>
      </c>
      <c r="O73" s="17">
        <v>0.15</v>
      </c>
      <c r="P73" s="17">
        <v>0.15</v>
      </c>
      <c r="Q73" s="17"/>
      <c r="R73" s="17"/>
      <c r="Y73" s="18" t="str">
        <f>IF(ISNA(VLOOKUP(F73,'Project List 2026'!A:A,1,FALSE)), "No", "Yes")</f>
        <v>Yes</v>
      </c>
    </row>
    <row r="74" spans="1:25" customFormat="1" ht="15">
      <c r="A74" s="18" t="str">
        <f>IF(F74=""," ",VLOOKUP(F74,'Project List 2026'!A:J,3,0))</f>
        <v>APAC</v>
      </c>
      <c r="B74" s="18" t="str">
        <f>IF(F74=""," ",VLOOKUP(F74,'Project List 2026'!A:N,4,0))</f>
        <v>DWS</v>
      </c>
      <c r="C74" s="16" t="str">
        <f>IF(F74=""," ",VLOOKUP(E74,RefData!AG:AH,2,FALSE))</f>
        <v>Telecoms-APAC</v>
      </c>
      <c r="D74" s="18" t="str">
        <f>IF(F74=""," ",VLOOKUP(F74,'Project List 2026'!A:J,5,0))</f>
        <v>Ruthie Buenafe</v>
      </c>
      <c r="E74" t="s">
        <v>330</v>
      </c>
      <c r="F74" s="7" t="s">
        <v>328</v>
      </c>
      <c r="G74" s="18" t="str">
        <f>IF(F74=""," ",VLOOKUP(F74,'Project List 2026'!A:J,6,0))</f>
        <v>Internal</v>
      </c>
      <c r="H74" s="98" t="str">
        <f>IF(F74="","",VLOOKUP(F74,'Project List 2026'!A:H,8,0))</f>
        <v>87101221 </v>
      </c>
      <c r="J74" s="18">
        <f>IF(F74=""," ",VLOOKUP(F74,'Project List 2026'!A:O,15,0))</f>
        <v>0</v>
      </c>
      <c r="K74" s="18" t="str">
        <f>IF(F74=""," ",VLOOKUP(F74,'Project List 2026'!A:T,9,0))</f>
        <v>Completed</v>
      </c>
      <c r="L74" s="101">
        <f>IF(F74=""," ",VLOOKUP(F74,'Project List 2026'!A:N,14,0))</f>
        <v>1</v>
      </c>
      <c r="M74" s="17">
        <v>0.65</v>
      </c>
      <c r="N74" s="17">
        <v>0.65</v>
      </c>
      <c r="O74" s="17">
        <v>0.65</v>
      </c>
      <c r="P74" s="17">
        <v>0.65</v>
      </c>
      <c r="Q74" s="17">
        <v>0.65</v>
      </c>
      <c r="R74" s="17">
        <v>0.65</v>
      </c>
      <c r="S74" s="17"/>
      <c r="T74" s="17"/>
      <c r="U74" s="17"/>
      <c r="V74" s="17"/>
      <c r="W74" s="17"/>
      <c r="X74" s="17"/>
      <c r="Y74" s="18" t="str">
        <f>IF(ISNA(VLOOKUP(F74,'Project List 2026'!A:A,1,FALSE)), "No", "Yes")</f>
        <v>Yes</v>
      </c>
    </row>
    <row r="75" spans="1:25" customFormat="1" ht="15">
      <c r="A75" s="18" t="str">
        <f>IF(F75=""," ",VLOOKUP(F75,'Project List 2026'!A:J,3,0))</f>
        <v>APAC</v>
      </c>
      <c r="B75" s="18" t="str">
        <f>IF(F75=""," ",VLOOKUP(F75,'Project List 2026'!A:N,4,0))</f>
        <v>DWS</v>
      </c>
      <c r="C75" s="16" t="str">
        <f>IF(F75=""," ",VLOOKUP(E75,RefData!AG:AH,2,FALSE))</f>
        <v>Telecoms-APAC</v>
      </c>
      <c r="D75" s="18" t="str">
        <f>IF(F75=""," ",VLOOKUP(F75,'Project List 2026'!A:J,5,0))</f>
        <v>Ruthie Buenafe</v>
      </c>
      <c r="E75" t="s">
        <v>330</v>
      </c>
      <c r="F75" s="7" t="s">
        <v>333</v>
      </c>
      <c r="G75" s="18" t="str">
        <f>IF(F75=""," ",VLOOKUP(F75,'Project List 2026'!A:J,6,0))</f>
        <v>Internal</v>
      </c>
      <c r="H75" s="98">
        <f>IF(F75="","",VLOOKUP(F75,'Project List 2026'!A:H,8,0))</f>
        <v>87001931</v>
      </c>
      <c r="J75" s="18">
        <f>IF(F75=""," ",VLOOKUP(F75,'Project List 2026'!A:O,15,0))</f>
        <v>0</v>
      </c>
      <c r="K75" s="18" t="str">
        <f>IF(F75=""," ",VLOOKUP(F75,'Project List 2026'!A:T,9,0))</f>
        <v>Ongoing</v>
      </c>
      <c r="L75" s="101">
        <f>IF(F75=""," ",VLOOKUP(F75,'Project List 2026'!A:N,14,0))</f>
        <v>1</v>
      </c>
      <c r="M75" s="17">
        <v>0.25</v>
      </c>
      <c r="N75" s="17">
        <v>0.25</v>
      </c>
      <c r="O75" s="17">
        <v>0.25</v>
      </c>
      <c r="P75" s="17">
        <v>0.25</v>
      </c>
      <c r="Q75" s="17">
        <v>0.25</v>
      </c>
      <c r="R75" s="17">
        <v>0.25</v>
      </c>
      <c r="S75" s="17">
        <v>0.25</v>
      </c>
      <c r="T75" s="17">
        <v>0.25</v>
      </c>
      <c r="U75" s="17">
        <v>0.25</v>
      </c>
      <c r="V75" s="17"/>
      <c r="W75" s="17"/>
      <c r="X75" s="17"/>
      <c r="Y75" s="18" t="str">
        <f>IF(ISNA(VLOOKUP(F75,'Project List 2026'!A:A,1,FALSE)), "No", "Yes")</f>
        <v>Yes</v>
      </c>
    </row>
    <row r="76" spans="1:25" customFormat="1" ht="15">
      <c r="A76" s="18" t="str">
        <f>IF(F76=""," ",VLOOKUP(F76,'Project List 2026'!A:J,3,0))</f>
        <v>Hosting</v>
      </c>
      <c r="B76" s="18" t="str">
        <f>IF(F76=""," ",VLOOKUP(F76,'Project List 2026'!A:N,4,0))</f>
        <v>Hosting Programs</v>
      </c>
      <c r="C76" s="16" t="str">
        <f>IF(F76=""," ",VLOOKUP(E76,RefData!AG:AH,2,FALSE))</f>
        <v>Telecoms</v>
      </c>
      <c r="D76" s="18" t="str">
        <f>IF(F76=""," ",VLOOKUP(F76,'Project List 2026'!A:J,5,0))</f>
        <v>Zlata Benesova</v>
      </c>
      <c r="E76" t="s">
        <v>660</v>
      </c>
      <c r="F76" t="s">
        <v>348</v>
      </c>
      <c r="G76" s="18" t="str">
        <f>IF(F76=""," ",VLOOKUP(F76,'Project List 2026'!A:J,6,0))</f>
        <v>External</v>
      </c>
      <c r="H76" s="98">
        <f>IF(F76="","",VLOOKUP(F76,'Project List 2026'!A:H,8,0))</f>
        <v>31319843</v>
      </c>
      <c r="J76" s="18">
        <f>IF(F76=""," ",VLOOKUP(F76,'Project List 2026'!A:O,15,0))</f>
        <v>1355572</v>
      </c>
      <c r="K76" s="18" t="str">
        <f>IF(F76=""," ",VLOOKUP(F76,'Project List 2026'!A:T,9,0))</f>
        <v>Ongoing</v>
      </c>
      <c r="L76" s="101">
        <f>IF(F76=""," ",VLOOKUP(F76,'Project List 2026'!A:N,14,0))</f>
        <v>1</v>
      </c>
      <c r="M76" s="1">
        <v>1</v>
      </c>
      <c r="N76" s="1">
        <v>1</v>
      </c>
      <c r="O76" s="1">
        <v>0.7</v>
      </c>
      <c r="P76" s="1">
        <v>0.7</v>
      </c>
      <c r="Q76" s="1">
        <v>0.7</v>
      </c>
      <c r="R76" s="1">
        <v>0.7</v>
      </c>
      <c r="S76" s="1">
        <v>0.7</v>
      </c>
      <c r="T76" s="1">
        <v>0.7</v>
      </c>
      <c r="U76" s="1">
        <v>0.7</v>
      </c>
      <c r="V76" s="1">
        <v>0.7</v>
      </c>
      <c r="Y76" s="18" t="str">
        <f>IF(ISNA(VLOOKUP(F76,'Project List 2026'!A:A,1,FALSE)), "No", "Yes")</f>
        <v>Yes</v>
      </c>
    </row>
    <row r="77" spans="1:25" customFormat="1" ht="15">
      <c r="A77" s="18" t="str">
        <f>IF(F77=""," ",VLOOKUP(F77,'Project List 2026'!A:J,3,0))</f>
        <v>Hosting</v>
      </c>
      <c r="B77" s="18" t="str">
        <f>IF(F77=""," ",VLOOKUP(F77,'Project List 2026'!A:N,4,0))</f>
        <v>Hosting Programs</v>
      </c>
      <c r="C77" s="16" t="str">
        <f>IF(F77=""," ",VLOOKUP(E77,RefData!AG:AH,2,FALSE))</f>
        <v>Telecoms</v>
      </c>
      <c r="D77" s="18" t="str">
        <f>IF(F77=""," ",VLOOKUP(F77,'Project List 2026'!A:J,5,0))</f>
        <v>Sona Rackova</v>
      </c>
      <c r="E77" t="s">
        <v>660</v>
      </c>
      <c r="F77" t="s">
        <v>352</v>
      </c>
      <c r="G77" s="18" t="str">
        <f>IF(F77=""," ",VLOOKUP(F77,'Project List 2026'!A:J,6,0))</f>
        <v>External</v>
      </c>
      <c r="H77" s="98">
        <f>IF(F77="","",VLOOKUP(F77,'Project List 2026'!A:H,8,0))</f>
        <v>31320188</v>
      </c>
      <c r="J77" s="18">
        <f>IF(F77=""," ",VLOOKUP(F77,'Project List 2026'!A:O,15,0))</f>
        <v>73000</v>
      </c>
      <c r="K77" s="18" t="str">
        <f>IF(F77=""," ",VLOOKUP(F77,'Project List 2026'!A:T,9,0))</f>
        <v>Completed</v>
      </c>
      <c r="L77" s="101">
        <f>IF(F77=""," ",VLOOKUP(F77,'Project List 2026'!A:N,14,0))</f>
        <v>1</v>
      </c>
      <c r="Y77" s="18" t="str">
        <f>IF(ISNA(VLOOKUP(F77,'Project List 2026'!A:A,1,FALSE)), "No", "Yes")</f>
        <v>Yes</v>
      </c>
    </row>
    <row r="78" spans="1:25" customFormat="1" ht="15">
      <c r="A78" s="18" t="str">
        <f>IF(F78=""," ",VLOOKUP(F78,'Project List 2026'!A:J,3,0))</f>
        <v>APAC</v>
      </c>
      <c r="B78" s="18" t="str">
        <f>IF(F78=""," ",VLOOKUP(F78,'Project List 2026'!A:N,4,0))</f>
        <v>Telecoms</v>
      </c>
      <c r="C78" s="16" t="str">
        <f>IF(F78=""," ",VLOOKUP(E78,RefData!AG:AH,2,FALSE))</f>
        <v>Telecoms-APAC</v>
      </c>
      <c r="D78" s="18" t="str">
        <f>IF(F78=""," ",VLOOKUP(F78,'Project List 2026'!A:J,5,0))</f>
        <v>Saranyah Vairavan</v>
      </c>
      <c r="E78" t="s">
        <v>336</v>
      </c>
      <c r="F78" s="60" t="s">
        <v>334</v>
      </c>
      <c r="G78" s="18" t="str">
        <f>IF(F78=""," ",VLOOKUP(F78,'Project List 2026'!A:J,6,0))</f>
        <v>External</v>
      </c>
      <c r="H78" s="98">
        <f>IF(F78="","",VLOOKUP(F78,'Project List 2026'!A:H,8,0))</f>
        <v>31318078</v>
      </c>
      <c r="J78" s="18">
        <f>IF(F78=""," ",VLOOKUP(F78,'Project List 2026'!A:O,15,0))</f>
        <v>42480</v>
      </c>
      <c r="K78" s="18" t="str">
        <f>IF(F78=""," ",VLOOKUP(F78,'Project List 2026'!A:T,9,0))</f>
        <v>Ongoing</v>
      </c>
      <c r="L78" s="101">
        <f>IF(F78=""," ",VLOOKUP(F78,'Project List 2026'!A:N,14,0))</f>
        <v>1</v>
      </c>
      <c r="M78" s="111">
        <v>0.3</v>
      </c>
      <c r="N78" s="111">
        <v>0.5</v>
      </c>
      <c r="O78" s="111">
        <v>0.5</v>
      </c>
      <c r="P78" s="111">
        <v>0.3</v>
      </c>
      <c r="Q78" s="111"/>
      <c r="R78" s="111"/>
      <c r="S78" s="111"/>
      <c r="T78" s="111"/>
      <c r="U78" s="111"/>
      <c r="V78" s="111"/>
      <c r="W78" s="111"/>
      <c r="X78" s="111"/>
      <c r="Y78" s="18" t="str">
        <f>IF(ISNA(VLOOKUP(F78,'Project List 2026'!A:A,1,FALSE)), "No", "Yes")</f>
        <v>Yes</v>
      </c>
    </row>
    <row r="79" spans="1:25" customFormat="1" ht="15">
      <c r="A79" s="18" t="str">
        <f>IF(F79=""," ",VLOOKUP(F79,'Project List 2026'!A:J,3,0))</f>
        <v>APAC</v>
      </c>
      <c r="B79" s="18" t="str">
        <f>IF(F79=""," ",VLOOKUP(F79,'Project List 2026'!A:N,4,0))</f>
        <v>Telecoms</v>
      </c>
      <c r="C79" s="16" t="str">
        <f>IF(F79=""," ",VLOOKUP(E79,RefData!AG:AH,2,FALSE))</f>
        <v>Telecoms-APAC</v>
      </c>
      <c r="D79" s="18" t="str">
        <f>IF(F79=""," ",VLOOKUP(F79,'Project List 2026'!A:J,5,0))</f>
        <v>Saranyah Vairavan</v>
      </c>
      <c r="E79" t="s">
        <v>336</v>
      </c>
      <c r="F79" s="60" t="s">
        <v>338</v>
      </c>
      <c r="G79" s="18" t="str">
        <f>IF(F79=""," ",VLOOKUP(F79,'Project List 2026'!A:J,6,0))</f>
        <v>External</v>
      </c>
      <c r="H79" s="98">
        <f>IF(F79="","",VLOOKUP(F79,'Project List 2026'!A:H,8,0))</f>
        <v>31318380</v>
      </c>
      <c r="J79" s="18">
        <f>IF(F79=""," ",VLOOKUP(F79,'Project List 2026'!A:O,15,0))</f>
        <v>5099.8</v>
      </c>
      <c r="K79" s="18" t="str">
        <f>IF(F79=""," ",VLOOKUP(F79,'Project List 2026'!A:T,9,0))</f>
        <v>Completed</v>
      </c>
      <c r="L79" s="101">
        <f>IF(F79=""," ",VLOOKUP(F79,'Project List 2026'!A:N,14,0))</f>
        <v>1</v>
      </c>
      <c r="M79" s="111">
        <v>0.5</v>
      </c>
      <c r="N79" s="111">
        <v>0.1</v>
      </c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8" t="str">
        <f>IF(ISNA(VLOOKUP(F79,'Project List 2026'!A:A,1,FALSE)), "No", "Yes")</f>
        <v>Yes</v>
      </c>
    </row>
    <row r="80" spans="1:25" customFormat="1" ht="15">
      <c r="A80" s="18" t="str">
        <f>IF(F80=""," ",VLOOKUP(F80,'Project List 2026'!A:J,3,0))</f>
        <v>Hosting</v>
      </c>
      <c r="B80" s="18" t="str">
        <f>IF(F80=""," ",VLOOKUP(F80,'Project List 2026'!A:N,4,0))</f>
        <v>Hosting Programs</v>
      </c>
      <c r="C80" s="16" t="str">
        <f>IF(F80=""," ",VLOOKUP(E80,RefData!AG:AH,2,FALSE))</f>
        <v>Telecoms-APAC</v>
      </c>
      <c r="D80" s="18" t="str">
        <f>IF(F80=""," ",VLOOKUP(F80,'Project List 2026'!A:J,5,0))</f>
        <v>Katerina Soukupova</v>
      </c>
      <c r="E80" t="s">
        <v>336</v>
      </c>
      <c r="F80" s="19" t="s">
        <v>244</v>
      </c>
      <c r="G80" s="18" t="str">
        <f>IF(F80=""," ",VLOOKUP(F80,'Project List 2026'!A:J,6,0))</f>
        <v>External</v>
      </c>
      <c r="H80" s="98">
        <f>IF(F80="","",VLOOKUP(F80,'Project List 2026'!A:H,8,0))</f>
        <v>31319957</v>
      </c>
      <c r="J80" s="18">
        <f>IF(F80=""," ",VLOOKUP(F80,'Project List 2026'!A:O,15,0))</f>
        <v>474281</v>
      </c>
      <c r="K80" s="18" t="str">
        <f>IF(F80=""," ",VLOOKUP(F80,'Project List 2026'!A:T,9,0))</f>
        <v>Ongoing</v>
      </c>
      <c r="L80" s="101">
        <f>IF(F80=""," ",VLOOKUP(F80,'Project List 2026'!A:N,14,0))</f>
        <v>1</v>
      </c>
      <c r="M80" s="111">
        <v>0.2</v>
      </c>
      <c r="N80" s="111">
        <v>0.3</v>
      </c>
      <c r="O80" s="111">
        <v>0.3</v>
      </c>
      <c r="P80" s="111">
        <v>0.5</v>
      </c>
      <c r="Q80" s="111">
        <v>0.8</v>
      </c>
      <c r="R80" s="111">
        <v>0.8</v>
      </c>
      <c r="S80" s="111">
        <v>0.8</v>
      </c>
      <c r="T80" s="111">
        <v>0.5</v>
      </c>
      <c r="U80" s="111">
        <v>0.5</v>
      </c>
      <c r="V80" s="111">
        <v>0.5</v>
      </c>
      <c r="W80" s="111">
        <v>0.5</v>
      </c>
      <c r="X80" s="111">
        <v>0.5</v>
      </c>
      <c r="Y80" s="18" t="str">
        <f>IF(ISNA(VLOOKUP(F80,'Project List 2026'!A:A,1,FALSE)), "No", "Yes")</f>
        <v>Yes</v>
      </c>
    </row>
    <row r="81" spans="1:25" customFormat="1" ht="15">
      <c r="A81" s="18" t="str">
        <f>IF(F81=""," ",VLOOKUP(F81,'Project List 2026'!A:J,3,0))</f>
        <v>Hosting</v>
      </c>
      <c r="B81" s="18" t="str">
        <f>IF(F81=""," ",VLOOKUP(F81,'Project List 2026'!A:N,4,0))</f>
        <v>SEF</v>
      </c>
      <c r="C81" s="80" t="str">
        <f>IF(F81=""," ",VLOOKUP(E81,RefData!AG:AH,2,FALSE))</f>
        <v>Infra Services</v>
      </c>
      <c r="D81" s="18" t="str">
        <f>IF(F81=""," ",VLOOKUP(F81,'Project List 2026'!A:J,5,0))</f>
        <v>Jan Truksa</v>
      </c>
      <c r="E81" s="73" t="s">
        <v>367</v>
      </c>
      <c r="F81" s="73" t="s">
        <v>215</v>
      </c>
      <c r="G81" s="18" t="str">
        <f>IF(F81=""," ",VLOOKUP(F81,'Project List 2026'!A:J,6,0))</f>
        <v>Internal</v>
      </c>
      <c r="H81" s="98">
        <f>IF(F81="","",VLOOKUP(F81,'Project List 2026'!A:H,8,0))</f>
        <v>87101401</v>
      </c>
      <c r="I81" s="73"/>
      <c r="J81" s="18">
        <f>IF(F81=""," ",VLOOKUP(F81,'Project List 2026'!A:O,15,0))</f>
        <v>687000</v>
      </c>
      <c r="K81" s="18" t="str">
        <f>IF(F81=""," ",VLOOKUP(F81,'Project List 2026'!A:T,9,0))</f>
        <v>On hold</v>
      </c>
      <c r="L81" s="101">
        <f>IF(F81=""," ",VLOOKUP(F81,'Project List 2026'!A:N,14,0))</f>
        <v>1</v>
      </c>
      <c r="M81" s="112">
        <v>0.6</v>
      </c>
      <c r="N81" s="112">
        <v>0.6</v>
      </c>
      <c r="O81" s="112">
        <v>0.8</v>
      </c>
      <c r="P81" s="112">
        <v>0.7</v>
      </c>
      <c r="Q81" s="112"/>
      <c r="R81" s="112"/>
      <c r="S81" s="112"/>
      <c r="T81" s="112"/>
      <c r="U81" s="112"/>
      <c r="V81" s="112"/>
      <c r="W81" s="112"/>
      <c r="X81" s="112"/>
      <c r="Y81" s="79" t="str">
        <f>IF(ISNA(VLOOKUP(F81,'Project List 2026'!A:A,1,FALSE)), "No", "Yes")</f>
        <v>Yes</v>
      </c>
    </row>
    <row r="82" spans="1:25" customFormat="1" ht="15">
      <c r="A82" s="18" t="str">
        <f>IF(F82=""," ",VLOOKUP(F82,'Project List 2026'!A:J,3,0))</f>
        <v>Hosting</v>
      </c>
      <c r="B82" s="18" t="str">
        <f>IF(F82=""," ",VLOOKUP(F82,'Project List 2026'!A:N,4,0))</f>
        <v>Hosting Programs</v>
      </c>
      <c r="C82" s="16" t="str">
        <f>IF(F82=""," ",VLOOKUP(E82,RefData!AG:AH,2,FALSE))</f>
        <v>Infra Services</v>
      </c>
      <c r="D82" s="18" t="str">
        <f>IF(F82=""," ",VLOOKUP(F82,'Project List 2026'!A:J,5,0))</f>
        <v>Yu Mon Htay</v>
      </c>
      <c r="E82" s="73" t="s">
        <v>367</v>
      </c>
      <c r="F82" t="s">
        <v>365</v>
      </c>
      <c r="G82" s="18" t="str">
        <f>IF(F82=""," ",VLOOKUP(F82,'Project List 2026'!A:J,6,0))</f>
        <v>Internal</v>
      </c>
      <c r="H82" s="98" t="str">
        <f>IF(F82="","",VLOOKUP(F82,'Project List 2026'!A:H,8,0))</f>
        <v>89100554 </v>
      </c>
      <c r="I82" s="73"/>
      <c r="J82" s="18">
        <f>IF(F82=""," ",VLOOKUP(F82,'Project List 2026'!A:O,15,0))</f>
        <v>0</v>
      </c>
      <c r="K82" s="18" t="str">
        <f>IF(F82=""," ",VLOOKUP(F82,'Project List 2026'!A:T,9,0))</f>
        <v>Ongoing</v>
      </c>
      <c r="L82" s="101">
        <f>IF(F82=""," ",VLOOKUP(F82,'Project List 2026'!A:N,14,0))</f>
        <v>1</v>
      </c>
      <c r="M82" s="112">
        <v>0.25</v>
      </c>
      <c r="N82" s="112">
        <v>0.25</v>
      </c>
      <c r="O82" s="112">
        <v>0.25</v>
      </c>
      <c r="P82" s="112">
        <v>0.25</v>
      </c>
      <c r="Q82" s="112">
        <v>0.25</v>
      </c>
      <c r="R82" s="112">
        <v>0.25</v>
      </c>
      <c r="S82" s="112">
        <v>0.25</v>
      </c>
      <c r="T82" s="112">
        <v>0.25</v>
      </c>
      <c r="U82" s="112">
        <v>0.25</v>
      </c>
      <c r="V82" s="112">
        <v>0.25</v>
      </c>
      <c r="W82" s="112">
        <v>0.25</v>
      </c>
      <c r="X82" s="112">
        <v>0.25</v>
      </c>
      <c r="Y82" s="79" t="str">
        <f>IF(ISNA(VLOOKUP(F82,'Project List 2026'!A:A,1,FALSE)), "No", "Yes")</f>
        <v>Yes</v>
      </c>
    </row>
    <row r="83" spans="1:25" customFormat="1" ht="15">
      <c r="A83" s="18" t="str">
        <f>IF(F83=""," ",VLOOKUP(F83,'Project List 2026'!A:J,3,0))</f>
        <v>Hosting</v>
      </c>
      <c r="B83" s="18" t="str">
        <f>IF(F83=""," ",VLOOKUP(F83,'Project List 2026'!A:N,4,0))</f>
        <v>Hosting Programs</v>
      </c>
      <c r="C83" s="16" t="str">
        <f>IF(F83=""," ",VLOOKUP(E83,RefData!AG:AH,2,FALSE))</f>
        <v>Infra Services</v>
      </c>
      <c r="D83" s="18" t="str">
        <f>IF(F83=""," ",VLOOKUP(F83,'Project List 2026'!A:J,5,0))</f>
        <v>Katerina Soukupova</v>
      </c>
      <c r="E83" s="18" t="s">
        <v>367</v>
      </c>
      <c r="F83" s="7" t="s">
        <v>244</v>
      </c>
      <c r="G83" s="18" t="str">
        <f>IF(F83=""," ",VLOOKUP(F83,'Project List 2026'!A:J,6,0))</f>
        <v>External</v>
      </c>
      <c r="H83" s="98">
        <f>IF(F83="","",VLOOKUP(F83,'Project List 2026'!A:H,8,0))</f>
        <v>31319957</v>
      </c>
      <c r="I83" s="73"/>
      <c r="J83" s="18">
        <f>IF(F83=""," ",VLOOKUP(F83,'Project List 2026'!A:O,15,0))</f>
        <v>474281</v>
      </c>
      <c r="K83" s="18" t="str">
        <f>IF(F83=""," ",VLOOKUP(F83,'Project List 2026'!A:T,9,0))</f>
        <v>Ongoing</v>
      </c>
      <c r="L83" s="101">
        <f>IF(F83=""," ",VLOOKUP(F83,'Project List 2026'!A:N,14,0))</f>
        <v>1</v>
      </c>
      <c r="M83" s="112">
        <v>0.1</v>
      </c>
      <c r="N83" s="113"/>
      <c r="O83" s="113"/>
      <c r="P83" s="113"/>
      <c r="Q83" s="112">
        <v>0.5</v>
      </c>
      <c r="R83" s="112"/>
      <c r="S83" s="112">
        <v>0.1</v>
      </c>
      <c r="T83" s="112">
        <v>0.1</v>
      </c>
      <c r="U83" s="113"/>
      <c r="V83" s="113"/>
      <c r="W83" s="113"/>
      <c r="X83" s="113"/>
      <c r="Y83" s="79" t="str">
        <f>IF(ISNA(VLOOKUP(F83,'Project List 2026'!A:A,1,FALSE)), "No", "Yes")</f>
        <v>Yes</v>
      </c>
    </row>
    <row r="84" spans="1:25" customFormat="1" ht="15">
      <c r="A84" s="18" t="str">
        <f>IF(F84=""," ",VLOOKUP(F84,'Project List 2026'!A:J,3,0))</f>
        <v>Telecoms</v>
      </c>
      <c r="B84" s="18" t="str">
        <f>IF(F84=""," ",VLOOKUP(F84,'Project List 2026'!A:N,4,0))</f>
        <v>Telecoms</v>
      </c>
      <c r="C84" s="16" t="str">
        <f>IF(F84=""," ",VLOOKUP(E84,RefData!AG:AH,2,FALSE))</f>
        <v>Telecoms</v>
      </c>
      <c r="D84" s="18" t="str">
        <f>IF(F84=""," ",VLOOKUP(F84,'Project List 2026'!A:J,5,0))</f>
        <v>Zied Erebai</v>
      </c>
      <c r="E84" t="s">
        <v>371</v>
      </c>
      <c r="F84" t="s">
        <v>370</v>
      </c>
      <c r="G84" s="18" t="str">
        <f>IF(F84=""," ",VLOOKUP(F84,'Project List 2026'!A:J,6,0))</f>
        <v>Internal</v>
      </c>
      <c r="H84" s="98">
        <f>IF(F84="","",VLOOKUP(F84,'Project List 2026'!A:H,8,0))</f>
        <v>89100787</v>
      </c>
      <c r="J84" s="18">
        <f>IF(F84=""," ",VLOOKUP(F84,'Project List 2026'!A:O,15,0))</f>
        <v>0</v>
      </c>
      <c r="K84" s="18" t="str">
        <f>IF(F84=""," ",VLOOKUP(F84,'Project List 2026'!A:T,9,0))</f>
        <v>Ongoing</v>
      </c>
      <c r="L84" s="101">
        <f>IF(F84=""," ",VLOOKUP(F84,'Project List 2026'!A:N,14,0))</f>
        <v>1</v>
      </c>
      <c r="M84" s="114">
        <v>0.1</v>
      </c>
      <c r="N84" s="114">
        <v>0.1</v>
      </c>
      <c r="O84" s="114">
        <v>0.1</v>
      </c>
      <c r="P84" s="114"/>
      <c r="Q84" s="115"/>
      <c r="R84" s="115"/>
      <c r="S84" s="115"/>
      <c r="T84" s="115"/>
      <c r="U84" s="115"/>
      <c r="V84" s="115"/>
      <c r="W84" s="115"/>
      <c r="X84" s="115"/>
      <c r="Y84" s="18" t="str">
        <f>IF(ISNA(VLOOKUP(F84,'Project List 2026'!A:A,1,FALSE)), "No", "Yes")</f>
        <v>Yes</v>
      </c>
    </row>
    <row r="85" spans="1:25" customFormat="1" ht="15">
      <c r="A85" s="18" t="str">
        <f>IF(F85=""," ",VLOOKUP(F85,'Project List 2026'!A:J,3,0))</f>
        <v>Telecoms</v>
      </c>
      <c r="B85" s="18" t="str">
        <f>IF(F85=""," ",VLOOKUP(F85,'Project List 2026'!A:N,4,0))</f>
        <v>Telecoms</v>
      </c>
      <c r="C85" s="16" t="str">
        <f>IF(F85=""," ",VLOOKUP(E85,RefData!AG:AH,2,FALSE))</f>
        <v>Telecoms</v>
      </c>
      <c r="D85" s="18" t="str">
        <f>IF(F85=""," ",VLOOKUP(F85,'Project List 2026'!A:J,5,0))</f>
        <v>Zied Erebai</v>
      </c>
      <c r="E85" t="s">
        <v>371</v>
      </c>
      <c r="F85" t="s">
        <v>373</v>
      </c>
      <c r="G85" s="18" t="str">
        <f>IF(F85=""," ",VLOOKUP(F85,'Project List 2026'!A:J,6,0))</f>
        <v>Internal</v>
      </c>
      <c r="H85" s="98">
        <f>IF(F85="","",VLOOKUP(F85,'Project List 2026'!A:H,8,0))</f>
        <v>89100787</v>
      </c>
      <c r="J85" s="18">
        <f>IF(F85=""," ",VLOOKUP(F85,'Project List 2026'!A:O,15,0))</f>
        <v>0</v>
      </c>
      <c r="K85" s="18" t="str">
        <f>IF(F85=""," ",VLOOKUP(F85,'Project List 2026'!A:T,9,0))</f>
        <v>Ongoing</v>
      </c>
      <c r="L85" s="101">
        <f>IF(F85=""," ",VLOOKUP(F85,'Project List 2026'!A:N,14,0))</f>
        <v>1</v>
      </c>
      <c r="M85" s="114"/>
      <c r="N85" s="114"/>
      <c r="O85" s="114">
        <v>0.15</v>
      </c>
      <c r="P85" s="114">
        <v>0.15</v>
      </c>
      <c r="Q85" s="114">
        <v>0.15</v>
      </c>
      <c r="R85" s="114">
        <v>0.15</v>
      </c>
      <c r="S85" s="114">
        <v>0.15</v>
      </c>
      <c r="T85" s="114">
        <v>0.15</v>
      </c>
      <c r="U85" s="114"/>
      <c r="V85" s="115"/>
      <c r="W85" s="115"/>
      <c r="X85" s="115"/>
      <c r="Y85" s="18" t="str">
        <f>IF(ISNA(VLOOKUP(F85,'Project List 2026'!A:A,1,FALSE)), "No", "Yes")</f>
        <v>Yes</v>
      </c>
    </row>
    <row r="86" spans="1:25" customFormat="1" ht="15">
      <c r="A86" s="18" t="str">
        <f>IF(F86=""," ",VLOOKUP(F86,'Project List 2026'!A:J,3,0))</f>
        <v>Telecoms</v>
      </c>
      <c r="B86" s="18" t="str">
        <f>IF(F86=""," ",VLOOKUP(F86,'Project List 2026'!A:N,4,0))</f>
        <v>Telecoms</v>
      </c>
      <c r="C86" s="16" t="str">
        <f>IF(F86=""," ",VLOOKUP(E86,RefData!AG:AH,2,FALSE))</f>
        <v>Telecoms</v>
      </c>
      <c r="D86" s="18" t="str">
        <f>IF(F86=""," ",VLOOKUP(F86,'Project List 2026'!A:J,5,0))</f>
        <v>Zied Erebai</v>
      </c>
      <c r="E86" t="s">
        <v>371</v>
      </c>
      <c r="F86" t="s">
        <v>374</v>
      </c>
      <c r="G86" s="18" t="str">
        <f>IF(F86=""," ",VLOOKUP(F86,'Project List 2026'!A:J,6,0))</f>
        <v>Internal</v>
      </c>
      <c r="H86" s="98">
        <f>IF(F86="","",VLOOKUP(F86,'Project List 2026'!A:H,8,0))</f>
        <v>89101224</v>
      </c>
      <c r="J86" s="18">
        <f>IF(F86=""," ",VLOOKUP(F86,'Project List 2026'!A:O,15,0))</f>
        <v>0</v>
      </c>
      <c r="K86" s="18" t="str">
        <f>IF(F86=""," ",VLOOKUP(F86,'Project List 2026'!A:T,9,0))</f>
        <v>Ongoing</v>
      </c>
      <c r="L86" s="101">
        <f>IF(F86=""," ",VLOOKUP(F86,'Project List 2026'!A:N,14,0))</f>
        <v>1</v>
      </c>
      <c r="M86" s="114">
        <v>0.2</v>
      </c>
      <c r="N86" s="114">
        <v>0.2</v>
      </c>
      <c r="O86" s="114">
        <v>0.2</v>
      </c>
      <c r="P86" s="114">
        <v>0.2</v>
      </c>
      <c r="Q86" s="114">
        <v>0.2</v>
      </c>
      <c r="R86" s="114">
        <v>0.2</v>
      </c>
      <c r="S86" s="115"/>
      <c r="T86" s="115"/>
      <c r="U86" s="115"/>
      <c r="V86" s="115"/>
      <c r="W86" s="115"/>
      <c r="X86" s="115"/>
      <c r="Y86" s="18" t="str">
        <f>IF(ISNA(VLOOKUP(F86,'Project List 2026'!A:A,1,FALSE)), "No", "Yes")</f>
        <v>Yes</v>
      </c>
    </row>
    <row r="87" spans="1:25" customFormat="1" ht="15">
      <c r="A87" s="18" t="str">
        <f>IF(F87=""," ",VLOOKUP(F87,'Project List 2026'!A:J,3,0))</f>
        <v>Telecoms</v>
      </c>
      <c r="B87" s="18" t="str">
        <f>IF(F87=""," ",VLOOKUP(F87,'Project List 2026'!A:N,4,0))</f>
        <v>Telecoms</v>
      </c>
      <c r="C87" s="16" t="str">
        <f>IF(F87=""," ",VLOOKUP(E87,RefData!AG:AH,2,FALSE))</f>
        <v>Telecoms</v>
      </c>
      <c r="D87" s="18" t="str">
        <f>IF(F87=""," ",VLOOKUP(F87,'Project List 2026'!A:J,5,0))</f>
        <v>Zied Erebai</v>
      </c>
      <c r="E87" t="s">
        <v>371</v>
      </c>
      <c r="F87" t="s">
        <v>377</v>
      </c>
      <c r="G87" s="18" t="str">
        <f>IF(F87=""," ",VLOOKUP(F87,'Project List 2026'!A:J,6,0))</f>
        <v>Internal</v>
      </c>
      <c r="H87" s="98">
        <f>IF(F87="","",VLOOKUP(F87,'Project List 2026'!A:H,8,0))</f>
        <v>89100787</v>
      </c>
      <c r="J87" s="18">
        <f>IF(F87=""," ",VLOOKUP(F87,'Project List 2026'!A:O,15,0))</f>
        <v>0</v>
      </c>
      <c r="K87" s="18" t="str">
        <f>IF(F87=""," ",VLOOKUP(F87,'Project List 2026'!A:T,9,0))</f>
        <v>Ongoing</v>
      </c>
      <c r="L87" s="101">
        <f>IF(F87=""," ",VLOOKUP(F87,'Project List 2026'!A:N,14,0))</f>
        <v>1</v>
      </c>
      <c r="M87" s="114">
        <v>0.1</v>
      </c>
      <c r="N87" s="114">
        <v>0.1</v>
      </c>
      <c r="O87" s="114">
        <v>0.1</v>
      </c>
      <c r="P87" s="114">
        <v>0.1</v>
      </c>
      <c r="Q87" s="114">
        <v>0.1</v>
      </c>
      <c r="R87" s="114">
        <v>0.1</v>
      </c>
      <c r="S87" s="114">
        <v>0.1</v>
      </c>
      <c r="T87" s="114">
        <v>0.1</v>
      </c>
      <c r="U87" s="114">
        <v>0.1</v>
      </c>
      <c r="V87" s="115"/>
      <c r="W87" s="115"/>
      <c r="X87" s="115"/>
      <c r="Y87" s="18" t="str">
        <f>IF(ISNA(VLOOKUP(F87,'Project List 2026'!A:A,1,FALSE)), "No", "Yes")</f>
        <v>Yes</v>
      </c>
    </row>
    <row r="88" spans="1:25" customFormat="1" ht="15">
      <c r="A88" s="18" t="str">
        <f>IF(F88=""," ",VLOOKUP(F88,'Project List 2026'!A:J,3,0))</f>
        <v>Telecoms</v>
      </c>
      <c r="B88" s="18" t="str">
        <f>IF(F88=""," ",VLOOKUP(F88,'Project List 2026'!A:N,4,0))</f>
        <v>Telecoms</v>
      </c>
      <c r="C88" s="16" t="str">
        <f>IF(F88=""," ",VLOOKUP(E88,RefData!AG:AH,2,FALSE))</f>
        <v>Telecoms</v>
      </c>
      <c r="D88" s="18" t="str">
        <f>IF(F88=""," ",VLOOKUP(F88,'Project List 2026'!A:J,5,0))</f>
        <v>Zied Erebai</v>
      </c>
      <c r="E88" t="s">
        <v>371</v>
      </c>
      <c r="F88" t="s">
        <v>378</v>
      </c>
      <c r="G88" s="18" t="str">
        <f>IF(F88=""," ",VLOOKUP(F88,'Project List 2026'!A:J,6,0))</f>
        <v>Internal</v>
      </c>
      <c r="H88" s="98">
        <f>IF(F88="","",VLOOKUP(F88,'Project List 2026'!A:H,8,0))</f>
        <v>89100787</v>
      </c>
      <c r="J88" s="18">
        <f>IF(F88=""," ",VLOOKUP(F88,'Project List 2026'!A:O,15,0))</f>
        <v>0</v>
      </c>
      <c r="K88" s="18" t="str">
        <f>IF(F88=""," ",VLOOKUP(F88,'Project List 2026'!A:T,9,0))</f>
        <v>Ongoing</v>
      </c>
      <c r="L88" s="101">
        <f>IF(F88=""," ",VLOOKUP(F88,'Project List 2026'!A:N,14,0))</f>
        <v>1</v>
      </c>
      <c r="M88" s="114">
        <v>0.1</v>
      </c>
      <c r="N88" s="114">
        <v>0.1</v>
      </c>
      <c r="O88" s="114">
        <v>0.1</v>
      </c>
      <c r="P88" s="114">
        <v>0.1</v>
      </c>
      <c r="Q88" s="114">
        <v>0.1</v>
      </c>
      <c r="R88" s="114">
        <v>0.1</v>
      </c>
      <c r="S88" s="114">
        <v>0.1</v>
      </c>
      <c r="T88" s="114">
        <v>0.1</v>
      </c>
      <c r="U88" s="114">
        <v>0.1</v>
      </c>
      <c r="V88" s="115"/>
      <c r="W88" s="115"/>
      <c r="X88" s="115"/>
      <c r="Y88" s="18" t="str">
        <f>IF(ISNA(VLOOKUP(F88,'Project List 2026'!A:A,1,FALSE)), "No", "Yes")</f>
        <v>Yes</v>
      </c>
    </row>
    <row r="89" spans="1:25" customFormat="1" ht="15">
      <c r="A89" s="18" t="str">
        <f>IF(F89=""," ",VLOOKUP(F89,'Project List 2026'!A:J,3,0))</f>
        <v>Telecoms</v>
      </c>
      <c r="B89" s="18" t="str">
        <f>IF(F89=""," ",VLOOKUP(F89,'Project List 2026'!A:N,4,0))</f>
        <v>Others</v>
      </c>
      <c r="C89" s="16" t="str">
        <f>IF(F89=""," ",VLOOKUP(E89,RefData!AG:AH,2,FALSE))</f>
        <v>Telecoms</v>
      </c>
      <c r="D89" s="18" t="str">
        <f>IF(F89=""," ",VLOOKUP(F89,'Project List 2026'!A:J,5,0))</f>
        <v>Zied Erebai</v>
      </c>
      <c r="E89" t="s">
        <v>371</v>
      </c>
      <c r="F89" t="s">
        <v>379</v>
      </c>
      <c r="G89" s="18" t="str">
        <f>IF(F89=""," ",VLOOKUP(F89,'Project List 2026'!A:J,6,0))</f>
        <v>Internal</v>
      </c>
      <c r="H89" s="98">
        <f>IF(F89="","",VLOOKUP(F89,'Project List 2026'!A:H,8,0))</f>
        <v>87101413</v>
      </c>
      <c r="J89" s="18">
        <f>IF(F89=""," ",VLOOKUP(F89,'Project List 2026'!A:O,15,0))</f>
        <v>80000</v>
      </c>
      <c r="K89" s="18" t="str">
        <f>IF(F89=""," ",VLOOKUP(F89,'Project List 2026'!A:T,9,0))</f>
        <v>Ongoing</v>
      </c>
      <c r="L89" s="101">
        <f>IF(F89=""," ",VLOOKUP(F89,'Project List 2026'!A:N,14,0))</f>
        <v>1</v>
      </c>
      <c r="M89" s="114">
        <v>0.25</v>
      </c>
      <c r="N89" s="114">
        <v>0.25</v>
      </c>
      <c r="O89" s="114">
        <v>0.25</v>
      </c>
      <c r="P89" s="114">
        <v>0.25</v>
      </c>
      <c r="Q89" s="114">
        <v>0.25</v>
      </c>
      <c r="R89" s="114">
        <v>0.25</v>
      </c>
      <c r="S89" s="114">
        <v>0.25</v>
      </c>
      <c r="T89" s="114">
        <v>0.25</v>
      </c>
      <c r="U89" s="114">
        <v>0.25</v>
      </c>
      <c r="V89" s="114">
        <v>0.25</v>
      </c>
      <c r="W89" s="114">
        <v>0.25</v>
      </c>
      <c r="X89" s="114">
        <v>0.25</v>
      </c>
      <c r="Y89" s="18" t="str">
        <f>IF(ISNA(VLOOKUP(F89,'Project List 2026'!A:A,1,FALSE)), "No", "Yes")</f>
        <v>Yes</v>
      </c>
    </row>
    <row r="90" spans="1:25" customFormat="1" ht="15">
      <c r="A90" s="18" t="str">
        <f>IF(F90=""," ",VLOOKUP(F90,'Project List 2026'!A:J,3,0))</f>
        <v>Telecoms</v>
      </c>
      <c r="B90" s="18" t="str">
        <f>IF(F90=""," ",VLOOKUP(F90,'Project List 2026'!A:N,4,0))</f>
        <v>Telecoms</v>
      </c>
      <c r="C90" s="16" t="str">
        <f>IF(F90=""," ",VLOOKUP(E90,RefData!AG:AH,2,FALSE))</f>
        <v>Telecoms</v>
      </c>
      <c r="D90" s="18" t="str">
        <f>IF(F90=""," ",VLOOKUP(F90,'Project List 2026'!A:J,5,0))</f>
        <v>Zied Erebai</v>
      </c>
      <c r="E90" t="s">
        <v>371</v>
      </c>
      <c r="F90" s="7" t="s">
        <v>382</v>
      </c>
      <c r="G90" s="18" t="str">
        <f>IF(F90=""," ",VLOOKUP(F90,'Project List 2026'!A:J,6,0))</f>
        <v>Internal</v>
      </c>
      <c r="H90" s="98">
        <f>IF(F90="","",VLOOKUP(F90,'Project List 2026'!A:H,8,0))</f>
        <v>89100787</v>
      </c>
      <c r="J90" s="18">
        <f>IF(F90=""," ",VLOOKUP(F90,'Project List 2026'!A:O,15,0))</f>
        <v>0</v>
      </c>
      <c r="K90" s="18" t="str">
        <f>IF(F90=""," ",VLOOKUP(F90,'Project List 2026'!A:T,9,0))</f>
        <v>Ongoing</v>
      </c>
      <c r="L90" s="101">
        <f>IF(F90=""," ",VLOOKUP(F90,'Project List 2026'!A:N,14,0))</f>
        <v>1</v>
      </c>
      <c r="M90" s="114">
        <v>0.1</v>
      </c>
      <c r="N90" s="114">
        <v>0.1</v>
      </c>
      <c r="O90" s="114">
        <v>0.1</v>
      </c>
      <c r="P90" s="114">
        <v>0.1</v>
      </c>
      <c r="Q90" s="114">
        <v>0.1</v>
      </c>
      <c r="R90" s="114">
        <v>0.1</v>
      </c>
      <c r="S90" s="114">
        <v>0.1</v>
      </c>
      <c r="T90" s="115"/>
      <c r="U90" s="115"/>
      <c r="V90" s="115"/>
      <c r="W90" s="115"/>
      <c r="X90" s="115"/>
      <c r="Y90" s="18" t="str">
        <f>IF(ISNA(VLOOKUP(F90,'Project List 2026'!A:A,1,FALSE)), "No", "Yes")</f>
        <v>Yes</v>
      </c>
    </row>
    <row r="91" spans="1:25" customFormat="1" ht="15">
      <c r="A91" s="18" t="str">
        <f>IF(F91=""," ",VLOOKUP(F91,'Project List 2026'!A:J,3,0))</f>
        <v>Hosting</v>
      </c>
      <c r="B91" s="18" t="str">
        <f>IF(F91=""," ",VLOOKUP(F91,'Project List 2026'!A:N,4,0))</f>
        <v>Hosting Programs</v>
      </c>
      <c r="C91" s="80" t="str">
        <f>IF(F91=""," ",VLOOKUP(E91,RefData!AG:AH,2,FALSE))</f>
        <v>Infra Services</v>
      </c>
      <c r="D91" s="18" t="str">
        <f>IF(F91=""," ",VLOOKUP(F91,'Project List 2026'!A:J,5,0))</f>
        <v>Zlata Benesova</v>
      </c>
      <c r="E91" s="73" t="s">
        <v>350</v>
      </c>
      <c r="F91" s="81" t="s">
        <v>383</v>
      </c>
      <c r="G91" s="18" t="str">
        <f>IF(F91=""," ",VLOOKUP(F91,'Project List 2026'!A:J,6,0))</f>
        <v>Internal</v>
      </c>
      <c r="H91" s="98">
        <f>IF(F91="","",VLOOKUP(F91,'Project List 2026'!A:H,8,0))</f>
        <v>89101264</v>
      </c>
      <c r="I91" s="73"/>
      <c r="J91" s="18">
        <f>IF(F91=""," ",VLOOKUP(F91,'Project List 2026'!A:O,15,0))</f>
        <v>0</v>
      </c>
      <c r="K91" s="18" t="str">
        <f>IF(F91=""," ",VLOOKUP(F91,'Project List 2026'!A:T,9,0))</f>
        <v>Cancelled</v>
      </c>
      <c r="L91" s="101">
        <f>IF(F91=""," ",VLOOKUP(F91,'Project List 2026'!A:N,14,0))</f>
        <v>1</v>
      </c>
      <c r="M91" s="112">
        <v>0.15</v>
      </c>
      <c r="N91" s="113"/>
      <c r="O91" s="113"/>
      <c r="P91" s="112">
        <v>0.3</v>
      </c>
      <c r="Q91" s="112">
        <v>0.3</v>
      </c>
      <c r="R91" s="112">
        <v>0.3</v>
      </c>
      <c r="S91" s="112">
        <v>0.3</v>
      </c>
      <c r="T91" s="112">
        <v>0.3</v>
      </c>
      <c r="U91" s="112">
        <v>0.3</v>
      </c>
      <c r="V91" s="112">
        <v>0.3</v>
      </c>
      <c r="W91" s="112">
        <v>0.3</v>
      </c>
      <c r="X91" s="113"/>
      <c r="Y91" s="79" t="str">
        <f>IF(ISNA(VLOOKUP(F91,'Project List 2026'!A:A,1,FALSE)), "No", "Yes")</f>
        <v>Yes</v>
      </c>
    </row>
    <row r="92" spans="1:25" customFormat="1" ht="15">
      <c r="A92" s="18" t="str">
        <f>IF(F92=""," ",VLOOKUP(F92,'Project List 2026'!A:J,3,0))</f>
        <v>Hosting</v>
      </c>
      <c r="B92" s="18" t="str">
        <f>IF(F92=""," ",VLOOKUP(F92,'Project List 2026'!A:N,4,0))</f>
        <v>Hosting Programs</v>
      </c>
      <c r="C92" s="84" t="s">
        <v>655</v>
      </c>
      <c r="D92" s="18" t="str">
        <f>IF(F92=""," ",VLOOKUP(F92,'Project List 2026'!A:J,5,0))</f>
        <v>Zlata Benesova</v>
      </c>
      <c r="E92" s="73" t="s">
        <v>350</v>
      </c>
      <c r="F92" s="73" t="s">
        <v>348</v>
      </c>
      <c r="G92" s="18" t="str">
        <f>IF(F92=""," ",VLOOKUP(F92,'Project List 2026'!A:J,6,0))</f>
        <v>External</v>
      </c>
      <c r="H92" s="98">
        <f>IF(F92="","",VLOOKUP(F92,'Project List 2026'!A:H,8,0))</f>
        <v>31319843</v>
      </c>
      <c r="I92" s="73"/>
      <c r="J92" s="18">
        <f>IF(F92=""," ",VLOOKUP(F92,'Project List 2026'!A:O,15,0))</f>
        <v>1355572</v>
      </c>
      <c r="K92" s="18" t="str">
        <f>IF(F92=""," ",VLOOKUP(F92,'Project List 2026'!A:T,9,0))</f>
        <v>Ongoing</v>
      </c>
      <c r="L92" s="101">
        <f>IF(F92=""," ",VLOOKUP(F92,'Project List 2026'!A:N,14,0))</f>
        <v>1</v>
      </c>
      <c r="M92" s="116">
        <v>0.8</v>
      </c>
      <c r="N92" s="116">
        <v>0.8</v>
      </c>
      <c r="O92" s="116">
        <v>0.7</v>
      </c>
      <c r="P92" s="116">
        <v>0.7</v>
      </c>
      <c r="Q92" s="116">
        <v>0.7</v>
      </c>
      <c r="R92" s="116">
        <v>0.6</v>
      </c>
      <c r="S92" s="116">
        <v>0.6</v>
      </c>
      <c r="T92" s="116">
        <v>0.6</v>
      </c>
      <c r="U92" s="116">
        <v>0.6</v>
      </c>
      <c r="V92" s="116">
        <v>0.6</v>
      </c>
      <c r="W92" s="116">
        <v>0.6</v>
      </c>
      <c r="X92" s="113"/>
      <c r="Y92" s="79" t="str">
        <f>IF(ISNA(VLOOKUP(F92,'Project List 2026'!A:A,1,FALSE)), "No", "Yes")</f>
        <v>Yes</v>
      </c>
    </row>
    <row r="93" spans="1:25" customFormat="1" ht="15">
      <c r="A93" s="18" t="str">
        <f>IF(F93=""," ",VLOOKUP(F93,'Project List 2026'!A:J,3,0))</f>
        <v>Hosting</v>
      </c>
      <c r="B93" s="18" t="str">
        <f>IF(F93=""," ",VLOOKUP(F93,'Project List 2026'!A:N,4,0))</f>
        <v>Hosting Programs</v>
      </c>
      <c r="C93" s="80" t="str">
        <f>IF(F93=""," ",VLOOKUP(E93,RefData!AG:AH,2,FALSE))</f>
        <v>Infra Services</v>
      </c>
      <c r="D93" s="18" t="str">
        <f>IF(F93=""," ",VLOOKUP(F93,'Project List 2026'!A:J,5,0))</f>
        <v>Neeraja Duddu</v>
      </c>
      <c r="E93" s="73" t="s">
        <v>350</v>
      </c>
      <c r="F93" s="44" t="s">
        <v>301</v>
      </c>
      <c r="G93" s="18" t="str">
        <f>IF(F93=""," ",VLOOKUP(F93,'Project List 2026'!A:J,6,0))</f>
        <v>Internal</v>
      </c>
      <c r="H93" s="98" t="str">
        <f>IF(F93="","",VLOOKUP(F93,'Project List 2026'!A:H,8,0))</f>
        <v>n/a</v>
      </c>
      <c r="I93" s="73"/>
      <c r="J93" s="18">
        <f>IF(F93=""," ",VLOOKUP(F93,'Project List 2026'!A:O,15,0))</f>
        <v>0</v>
      </c>
      <c r="K93" s="18" t="str">
        <f>IF(F93=""," ",VLOOKUP(F93,'Project List 2026'!A:T,9,0))</f>
        <v>Ongoing</v>
      </c>
      <c r="L93" s="101">
        <f>IF(F93=""," ",VLOOKUP(F93,'Project List 2026'!A:N,14,0))</f>
        <v>1</v>
      </c>
      <c r="M93" s="112"/>
      <c r="N93" s="112">
        <v>0.25</v>
      </c>
      <c r="O93" s="112">
        <v>0.25</v>
      </c>
      <c r="P93" s="112"/>
      <c r="Q93" s="112"/>
      <c r="R93" s="112"/>
      <c r="S93" s="112"/>
      <c r="T93" s="112"/>
      <c r="U93" s="112"/>
      <c r="V93" s="112"/>
      <c r="W93" s="112"/>
      <c r="X93" s="112"/>
      <c r="Y93" s="79" t="str">
        <f>IF(ISNA(VLOOKUP(F93,'Project List 2026'!A:A,1,FALSE)), "No", "Yes")</f>
        <v>Yes</v>
      </c>
    </row>
    <row r="94" spans="1:25" customFormat="1" ht="15">
      <c r="A94" s="18" t="str">
        <f>IF(F94=""," ",VLOOKUP(F94,'Project List 2026'!A:J,3,0))</f>
        <v>Telecoms</v>
      </c>
      <c r="B94" s="18" t="str">
        <f>IF(F94=""," ",VLOOKUP(F94,'Project List 2026'!A:N,4,0))</f>
        <v>Telecoms</v>
      </c>
      <c r="C94" s="16" t="str">
        <f>IF(F94=""," ",VLOOKUP(E94,RefData!AG:AH,2,FALSE))</f>
        <v>Telecoms</v>
      </c>
      <c r="D94" s="18" t="str">
        <f>IF(F94=""," ",VLOOKUP(F94,'Project List 2026'!A:J,5,0))</f>
        <v>Zdenek Novotny</v>
      </c>
      <c r="E94" s="73" t="s">
        <v>451</v>
      </c>
      <c r="F94" t="s">
        <v>450</v>
      </c>
      <c r="G94" s="18" t="str">
        <f>IF(F94=""," ",VLOOKUP(F94,'Project List 2026'!A:J,6,0))</f>
        <v>External</v>
      </c>
      <c r="H94" s="98">
        <f>IF(F94="","",VLOOKUP(F94,'Project List 2026'!A:H,8,0))</f>
        <v>31321899</v>
      </c>
      <c r="J94" s="18">
        <f>IF(F94=""," ",VLOOKUP(F94,'Project List 2026'!A:O,14,0))</f>
        <v>1</v>
      </c>
      <c r="K94" s="18" t="str">
        <f>IF(F94=""," ",VLOOKUP(F94,'Project List 2026'!A:T,9,0))</f>
        <v>Completed</v>
      </c>
      <c r="L94" s="18">
        <f>IF(F94=""," ",VLOOKUP(F94,'Project List 2026'!A:M,13,0))</f>
        <v>93772</v>
      </c>
      <c r="M94" s="115"/>
      <c r="N94" s="115"/>
      <c r="O94" s="115"/>
      <c r="P94" s="116">
        <v>0.75</v>
      </c>
      <c r="Q94" s="116">
        <v>0.1</v>
      </c>
      <c r="R94" s="115"/>
      <c r="S94" s="115"/>
      <c r="T94" s="115"/>
      <c r="U94" s="115"/>
      <c r="V94" s="115"/>
      <c r="W94" s="115"/>
      <c r="X94" s="115"/>
      <c r="Y94" s="18" t="str">
        <f>IF(ISNA(VLOOKUP(F94,'Project List 2026'!A:A,1,FALSE)), "No", "Yes")</f>
        <v>Yes</v>
      </c>
    </row>
    <row r="95" spans="1:25" customFormat="1" ht="15">
      <c r="A95" s="18" t="str">
        <f>IF(F95=""," ",VLOOKUP(F95,'Project List 2026'!A:J,3,0))</f>
        <v>Telecoms</v>
      </c>
      <c r="B95" s="18" t="str">
        <f>IF(F95=""," ",VLOOKUP(F95,'Project List 2026'!A:N,4,0))</f>
        <v>Telecoms</v>
      </c>
      <c r="C95" s="16" t="str">
        <f>IF(F95=""," ",VLOOKUP(E95,RefData!AG:AH,2,FALSE))</f>
        <v>Telecoms</v>
      </c>
      <c r="D95" s="18" t="str">
        <f>IF(F95=""," ",VLOOKUP(F95,'Project List 2026'!A:J,5,0))</f>
        <v>Zdenek Novotny</v>
      </c>
      <c r="E95" s="73" t="s">
        <v>451</v>
      </c>
      <c r="F95" t="s">
        <v>453</v>
      </c>
      <c r="G95" s="18" t="str">
        <f>IF(F95=""," ",VLOOKUP(F95,'Project List 2026'!A:J,6,0))</f>
        <v>External</v>
      </c>
      <c r="H95" s="98">
        <f>IF(F95="","",VLOOKUP(F95,'Project List 2026'!A:H,8,0))</f>
        <v>31321974</v>
      </c>
      <c r="J95" s="18">
        <f>IF(F95=""," ",VLOOKUP(F95,'Project List 2026'!A:O,14,0))</f>
        <v>1</v>
      </c>
      <c r="K95" s="18" t="str">
        <f>IF(F95=""," ",VLOOKUP(F95,'Project List 2026'!A:T,9,0))</f>
        <v>Completed</v>
      </c>
      <c r="L95" s="18">
        <f>IF(F95=""," ",VLOOKUP(F95,'Project List 2026'!A:M,13,0))</f>
        <v>12008</v>
      </c>
      <c r="M95" s="115"/>
      <c r="N95" s="115"/>
      <c r="O95" s="115"/>
      <c r="P95" s="116">
        <v>0.1</v>
      </c>
      <c r="Q95" s="116">
        <v>0.1</v>
      </c>
      <c r="R95" s="115"/>
      <c r="S95" s="115"/>
      <c r="T95" s="115"/>
      <c r="U95" s="115"/>
      <c r="V95" s="115"/>
      <c r="W95" s="115"/>
      <c r="X95" s="115"/>
      <c r="Y95" s="18" t="str">
        <f>IF(ISNA(VLOOKUP(F95,'Project List 2026'!A:A,1,FALSE)), "No", "Yes")</f>
        <v>Yes</v>
      </c>
    </row>
    <row r="96" spans="1:25" customFormat="1" ht="15">
      <c r="A96" s="18" t="str">
        <f>IF(F96=""," ",VLOOKUP(F96,'Project List 2026'!A:J,3,0))</f>
        <v>Telecoms</v>
      </c>
      <c r="B96" s="18" t="str">
        <f>IF(F96=""," ",VLOOKUP(F96,'Project List 2026'!A:N,4,0))</f>
        <v>Telecoms</v>
      </c>
      <c r="C96" s="16" t="str">
        <f>IF(F96=""," ",VLOOKUP(E96,RefData!AG:AH,2,FALSE))</f>
        <v>Telecoms</v>
      </c>
      <c r="D96" s="18" t="str">
        <f>IF(F96=""," ",VLOOKUP(F96,'Project List 2026'!A:J,5,0))</f>
        <v>Zdenek Novotny</v>
      </c>
      <c r="E96" s="73" t="s">
        <v>660</v>
      </c>
      <c r="F96" t="s">
        <v>450</v>
      </c>
      <c r="G96" s="18" t="str">
        <f>IF(F96=""," ",VLOOKUP(F96,'Project List 2026'!A:J,6,0))</f>
        <v>External</v>
      </c>
      <c r="H96" s="98">
        <f>IF(F96="","",VLOOKUP(F96,'Project List 2026'!A:H,8,0))</f>
        <v>31321899</v>
      </c>
      <c r="J96" s="18">
        <f>IF(F96=""," ",VLOOKUP(F96,'Project List 2026'!A:O,14,0))</f>
        <v>1</v>
      </c>
      <c r="K96" s="18" t="str">
        <f>IF(F96=""," ",VLOOKUP(F96,'Project List 2026'!A:T,9,0))</f>
        <v>Completed</v>
      </c>
      <c r="L96" s="18">
        <f>IF(F96=""," ",VLOOKUP(F96,'Project List 2026'!A:M,13,0))</f>
        <v>93772</v>
      </c>
      <c r="M96" s="115"/>
      <c r="N96" s="115"/>
      <c r="O96" s="115"/>
      <c r="P96" s="116">
        <v>0.2</v>
      </c>
      <c r="Q96" s="116">
        <v>0.15</v>
      </c>
      <c r="R96" s="116"/>
      <c r="S96" s="116"/>
      <c r="T96" s="116"/>
      <c r="U96" s="116"/>
      <c r="V96" s="116"/>
      <c r="W96" s="116"/>
      <c r="X96" s="116"/>
      <c r="Y96" s="18" t="str">
        <f>IF(ISNA(VLOOKUP(F96,'Project List 2026'!A:A,1,FALSE)), "No", "Yes")</f>
        <v>Yes</v>
      </c>
    </row>
    <row r="97" spans="1:25" customFormat="1" ht="15">
      <c r="A97" s="18" t="str">
        <f>IF(F97=""," ",VLOOKUP(F97,'Project List 2026'!A:J,3,0))</f>
        <v>Telecoms</v>
      </c>
      <c r="B97" s="18" t="str">
        <f>IF(F97=""," ",VLOOKUP(F97,'Project List 2026'!A:N,4,0))</f>
        <v>Telecoms</v>
      </c>
      <c r="C97" s="16" t="str">
        <f>IF(F97=""," ",VLOOKUP(E97,RefData!AG:AH,2,FALSE))</f>
        <v>Telecoms</v>
      </c>
      <c r="D97" s="18" t="str">
        <f>IF(F97=""," ",VLOOKUP(F97,'Project List 2026'!A:J,5,0))</f>
        <v>Zdenek Novotny</v>
      </c>
      <c r="E97" s="73" t="s">
        <v>271</v>
      </c>
      <c r="F97" t="s">
        <v>450</v>
      </c>
      <c r="G97" s="18" t="str">
        <f>IF(F97=""," ",VLOOKUP(F97,'Project List 2026'!A:J,6,0))</f>
        <v>External</v>
      </c>
      <c r="H97" s="98">
        <f>IF(F97="","",VLOOKUP(F97,'Project List 2026'!A:H,8,0))</f>
        <v>31321899</v>
      </c>
      <c r="J97" s="18">
        <f>IF(F97=""," ",VLOOKUP(F97,'Project List 2026'!A:O,14,0))</f>
        <v>1</v>
      </c>
      <c r="K97" s="18" t="str">
        <f>IF(F97=""," ",VLOOKUP(F97,'Project List 2026'!A:T,9,0))</f>
        <v>Completed</v>
      </c>
      <c r="L97" s="18">
        <f>IF(F97=""," ",VLOOKUP(F97,'Project List 2026'!A:M,13,0))</f>
        <v>93772</v>
      </c>
      <c r="P97" s="116">
        <v>0.1</v>
      </c>
      <c r="Q97" s="116">
        <v>0.1</v>
      </c>
      <c r="R97" s="116"/>
      <c r="S97" s="116"/>
      <c r="T97" s="116"/>
      <c r="U97" s="116"/>
      <c r="V97" s="116"/>
      <c r="W97" s="116"/>
      <c r="X97" s="116"/>
      <c r="Y97" s="18" t="str">
        <f>IF(ISNA(VLOOKUP(F97,'Project List 2026'!A:A,1,FALSE)), "No", "Yes")</f>
        <v>Yes</v>
      </c>
    </row>
    <row r="98" spans="1:25" customFormat="1" ht="15">
      <c r="A98" s="18" t="str">
        <f>IF(F98=""," ",VLOOKUP(F98,'Project List 2026'!A:J,3,0))</f>
        <v>Telecoms</v>
      </c>
      <c r="B98" s="18" t="str">
        <f>IF(F98=""," ",VLOOKUP(F98,'Project List 2026'!A:N,4,0))</f>
        <v>Telecoms</v>
      </c>
      <c r="C98" s="16" t="str">
        <f>IF(F98=""," ",VLOOKUP(E98,RefData!AG:AH,2,FALSE))</f>
        <v>Telecoms</v>
      </c>
      <c r="D98" s="18" t="str">
        <f>IF(F98=""," ",VLOOKUP(F98,'Project List 2026'!A:J,5,0))</f>
        <v>Rene Zamecnik</v>
      </c>
      <c r="E98" s="73" t="s">
        <v>325</v>
      </c>
      <c r="F98" t="s">
        <v>458</v>
      </c>
      <c r="G98" s="18" t="str">
        <f>IF(F98=""," ",VLOOKUP(F98,'Project List 2026'!A:J,6,0))</f>
        <v>External</v>
      </c>
      <c r="H98" s="98">
        <f>IF(F98="","",VLOOKUP(F98,'Project List 2026'!A:H,8,0))</f>
        <v>31322131</v>
      </c>
      <c r="J98" s="18">
        <f>IF(F98=""," ",VLOOKUP(F98,'Project List 2026'!A:O,14,0))</f>
        <v>1</v>
      </c>
      <c r="K98" s="18" t="str">
        <f>IF(F98=""," ",VLOOKUP(F98,'Project List 2026'!A:T,9,0))</f>
        <v>Ongoing</v>
      </c>
      <c r="L98" s="18">
        <f>IF(F98=""," ",VLOOKUP(F98,'Project List 2026'!A:M,13,0))</f>
        <v>114554</v>
      </c>
      <c r="P98" s="116">
        <v>0.1</v>
      </c>
      <c r="Q98" s="116">
        <v>0.3</v>
      </c>
      <c r="R98" s="116">
        <v>0.3</v>
      </c>
      <c r="S98" s="116">
        <v>0.3</v>
      </c>
      <c r="T98" s="116">
        <v>0.3</v>
      </c>
      <c r="U98" s="116">
        <v>0.3</v>
      </c>
      <c r="V98" s="116">
        <v>0.3</v>
      </c>
      <c r="W98" s="116">
        <v>0.3</v>
      </c>
      <c r="X98" s="116">
        <v>0.3</v>
      </c>
      <c r="Y98" s="18" t="str">
        <f>IF(ISNA(VLOOKUP(F98,'Project List 2026'!A:A,1,FALSE)), "No", "Yes")</f>
        <v>Yes</v>
      </c>
    </row>
    <row r="99" spans="1:25" customFormat="1" ht="15">
      <c r="A99" s="18" t="str">
        <f>IF(F99=""," ",VLOOKUP(F99,'Project List 2026'!A:J,3,0))</f>
        <v>Telecoms</v>
      </c>
      <c r="B99" s="18" t="str">
        <f>IF(F99=""," ",VLOOKUP(F99,'Project List 2026'!A:N,4,0))</f>
        <v>Telecoms</v>
      </c>
      <c r="C99" s="16" t="str">
        <f>IF(F99=""," ",VLOOKUP(E99,RefData!AG:AH,2,FALSE))</f>
        <v>Telecoms</v>
      </c>
      <c r="D99" s="18" t="str">
        <f>IF(F99=""," ",VLOOKUP(F99,'Project List 2026'!A:J,5,0))</f>
        <v>Alina Nosulych</v>
      </c>
      <c r="E99" s="73" t="s">
        <v>20</v>
      </c>
      <c r="F99" t="s">
        <v>326</v>
      </c>
      <c r="G99" s="18" t="str">
        <f>IF(F99=""," ",VLOOKUP(F99,'Project List 2026'!A:J,6,0))</f>
        <v>Internal</v>
      </c>
      <c r="H99" s="98">
        <f>IF(F99="","",VLOOKUP(F99,'Project List 2026'!A:H,8,0))</f>
        <v>89100826</v>
      </c>
      <c r="J99" s="18">
        <f>IF(F99=""," ",VLOOKUP(F99,'Project List 2026'!A:O,14,0))</f>
        <v>1</v>
      </c>
      <c r="K99" s="18" t="str">
        <f>IF(F99=""," ",VLOOKUP(F99,'Project List 2026'!A:T,9,0))</f>
        <v>Ongoing</v>
      </c>
      <c r="L99" s="18">
        <f>IF(F99=""," ",VLOOKUP(F99,'Project List 2026'!A:M,13,0))</f>
        <v>0</v>
      </c>
      <c r="P99" s="116"/>
      <c r="Q99" s="116">
        <v>0.15</v>
      </c>
      <c r="R99" s="116">
        <v>0.15</v>
      </c>
      <c r="S99" s="116">
        <v>0.15</v>
      </c>
      <c r="T99" s="116">
        <v>0.15</v>
      </c>
      <c r="U99" s="116"/>
      <c r="V99" s="116"/>
      <c r="W99" s="116"/>
      <c r="X99" s="116"/>
      <c r="Y99" s="18" t="str">
        <f>IF(ISNA(VLOOKUP(F99,'Project List 2026'!A:A,1,FALSE)), "No", "Yes")</f>
        <v>Yes</v>
      </c>
    </row>
    <row r="100" spans="1:25" customFormat="1" ht="15">
      <c r="A100" s="18" t="str">
        <f>IF(F100=""," ",VLOOKUP(F100,'Project List 2026'!A:J,3,0))</f>
        <v>Telecoms</v>
      </c>
      <c r="B100" s="18" t="str">
        <f>IF(F100=""," ",VLOOKUP(F100,'Project List 2026'!A:N,4,0))</f>
        <v>SEF</v>
      </c>
      <c r="C100" s="16" t="str">
        <f>IF(F100=""," ",VLOOKUP(E100,RefData!AG:AH,2,FALSE))</f>
        <v>Telecoms</v>
      </c>
      <c r="D100" s="18" t="str">
        <f>IF(F100=""," ",VLOOKUP(F100,'Project List 2026'!A:J,5,0))</f>
        <v>Jaroslav Kral</v>
      </c>
      <c r="E100" s="73" t="s">
        <v>242</v>
      </c>
      <c r="F100" t="s">
        <v>322</v>
      </c>
      <c r="G100" s="18" t="str">
        <f>IF(F100=""," ",VLOOKUP(F100,'Project List 2026'!A:J,6,0))</f>
        <v>Internal</v>
      </c>
      <c r="H100" s="98">
        <f>IF(F100="","",VLOOKUP(F100,'Project List 2026'!A:H,8,0))</f>
        <v>87101427</v>
      </c>
      <c r="J100" s="18">
        <f>IF(F100=""," ",VLOOKUP(F100,'Project List 2026'!A:O,14,0))</f>
        <v>1</v>
      </c>
      <c r="K100" s="18" t="str">
        <f>IF(F100=""," ",VLOOKUP(F100,'Project List 2026'!A:T,9,0))</f>
        <v>Ongoing</v>
      </c>
      <c r="L100" s="18">
        <f>IF(F100=""," ",VLOOKUP(F100,'Project List 2026'!A:M,13,0))</f>
        <v>999000</v>
      </c>
      <c r="P100" s="116">
        <v>0.6</v>
      </c>
      <c r="Q100" s="116">
        <v>0.6</v>
      </c>
      <c r="R100" s="116">
        <v>0.6</v>
      </c>
      <c r="S100" s="116">
        <v>0.6</v>
      </c>
      <c r="T100" s="116">
        <v>0.6</v>
      </c>
      <c r="U100" s="116">
        <v>0.6</v>
      </c>
      <c r="V100" s="116">
        <v>0.6</v>
      </c>
      <c r="W100" s="116">
        <v>0.6</v>
      </c>
      <c r="X100" s="116">
        <v>0.6</v>
      </c>
      <c r="Y100" s="18" t="str">
        <f>IF(ISNA(VLOOKUP(F100,'Project List 2026'!A:A,1,FALSE)), "No", "Yes")</f>
        <v>Yes</v>
      </c>
    </row>
    <row r="101" spans="1:25" customFormat="1" ht="15">
      <c r="A101" s="18" t="str">
        <f>IF(F101=""," ",VLOOKUP(F101,'Project List 2026'!A:J,3,0))</f>
        <v>Hosting</v>
      </c>
      <c r="B101" s="18" t="str">
        <f>IF(F101=""," ",VLOOKUP(F101,'Project List 2026'!A:N,4,0))</f>
        <v>IS - Other</v>
      </c>
      <c r="C101" s="16" t="str">
        <f>IF(F101=""," ",VLOOKUP(E101,RefData!AG:AH,2,FALSE))</f>
        <v>Infra Services</v>
      </c>
      <c r="D101" s="18" t="str">
        <f>IF(F101=""," ",VLOOKUP(F101,'Project List 2026'!A:J,5,0))</f>
        <v>Irina Denisova</v>
      </c>
      <c r="E101" t="s">
        <v>444</v>
      </c>
      <c r="F101" t="s">
        <v>443</v>
      </c>
      <c r="G101" s="18" t="str">
        <f>IF(F101=""," ",VLOOKUP(F101,'Project List 2026'!A:J,6,0))</f>
        <v>Internal</v>
      </c>
      <c r="H101" s="98">
        <f>IF(F101="","",VLOOKUP(F101,'Project List 2026'!A:H,8,0))</f>
        <v>87002038</v>
      </c>
      <c r="J101" s="18">
        <f>IF(F101=""," ",VLOOKUP(F101,'Project List 2026'!A:O,14,0))</f>
        <v>1</v>
      </c>
      <c r="K101" s="18" t="str">
        <f>IF(F101=""," ",VLOOKUP(F101,'Project List 2026'!A:T,9,0))</f>
        <v>Ongoing</v>
      </c>
      <c r="L101" s="18">
        <f>IF(F101=""," ",VLOOKUP(F101,'Project List 2026'!A:M,13,0))</f>
        <v>46888</v>
      </c>
      <c r="P101" s="116"/>
      <c r="Q101" s="116">
        <v>0.2</v>
      </c>
      <c r="R101" s="116">
        <v>0.2</v>
      </c>
      <c r="S101" s="116">
        <v>0.2</v>
      </c>
      <c r="T101" s="116">
        <v>0.2</v>
      </c>
      <c r="U101" s="116">
        <v>0.2</v>
      </c>
      <c r="V101" s="116">
        <v>0.2</v>
      </c>
      <c r="W101" s="116">
        <v>0.2</v>
      </c>
      <c r="X101" s="116">
        <v>0.2</v>
      </c>
      <c r="Y101" s="18" t="str">
        <f>IF(ISNA(VLOOKUP(F101,'Project List 2026'!A:A,1,FALSE)), "No", "Yes")</f>
        <v>Yes</v>
      </c>
    </row>
    <row r="102" spans="1:25" customFormat="1" ht="15">
      <c r="A102" s="18" t="str">
        <f>IF(F102=""," ",VLOOKUP(F102,'Project List 2026'!A:J,3,0))</f>
        <v>Hosting</v>
      </c>
      <c r="B102" s="18" t="str">
        <f>IF(F102=""," ",VLOOKUP(F102,'Project List 2026'!A:N,4,0))</f>
        <v>IS - Other</v>
      </c>
      <c r="C102" s="16" t="str">
        <f>IF(F102=""," ",VLOOKUP(E102,RefData!AG:AH,2,FALSE))</f>
        <v>Infra Services</v>
      </c>
      <c r="D102" s="18" t="str">
        <f>IF(F102=""," ",VLOOKUP(F102,'Project List 2026'!A:J,5,0))</f>
        <v>Hana Kodatova</v>
      </c>
      <c r="E102" t="s">
        <v>164</v>
      </c>
      <c r="F102" t="s">
        <v>476</v>
      </c>
      <c r="G102" s="18" t="str">
        <f>IF(F102=""," ",VLOOKUP(F102,'Project List 2026'!A:J,6,0))</f>
        <v>External</v>
      </c>
      <c r="H102" s="98">
        <f>IF(F102="","",VLOOKUP(F102,'Project List 2026'!A:H,8,0))</f>
        <v>0</v>
      </c>
      <c r="J102" s="18">
        <f>IF(F102=""," ",VLOOKUP(F102,'Project List 2026'!A:O,14,0))</f>
        <v>1</v>
      </c>
      <c r="K102" s="18" t="s">
        <v>23</v>
      </c>
      <c r="L102" s="18">
        <f>IF(F102=""," ",VLOOKUP(F102,'Project List 2026'!A:M,13,0))</f>
        <v>29148</v>
      </c>
      <c r="Q102" s="116"/>
      <c r="R102" s="116"/>
      <c r="S102" s="116">
        <v>0.3</v>
      </c>
      <c r="T102" s="116">
        <v>0.2</v>
      </c>
      <c r="U102" s="116">
        <v>0.2</v>
      </c>
      <c r="V102" s="116">
        <v>0.2</v>
      </c>
      <c r="W102" s="116">
        <v>0.2</v>
      </c>
      <c r="X102" s="116"/>
      <c r="Y102" s="18" t="str">
        <f>IF(ISNA(VLOOKUP(F102,'Project List 2026'!A:A,1,FALSE)), "No", "Yes")</f>
        <v>Yes</v>
      </c>
    </row>
    <row r="103" spans="1:25" customFormat="1" ht="15">
      <c r="A103" s="18" t="str">
        <f>IF(F103=""," ",VLOOKUP(F103,'Project List 2026'!A:J,3,0))</f>
        <v>Hosting</v>
      </c>
      <c r="B103" s="18" t="str">
        <f>IF(F103=""," ",VLOOKUP(F103,'Project List 2026'!A:N,4,0))</f>
        <v>Hosting Programs</v>
      </c>
      <c r="C103" s="16" t="str">
        <f>IF(F103=""," ",VLOOKUP(E103,RefData!AG:AH,2,FALSE))</f>
        <v>Infra Services</v>
      </c>
      <c r="D103" s="18" t="str">
        <f>IF(F103=""," ",VLOOKUP(F103,'Project List 2026'!A:J,5,0))</f>
        <v>Hana Sinska</v>
      </c>
      <c r="E103" t="s">
        <v>172</v>
      </c>
      <c r="F103" t="s">
        <v>460</v>
      </c>
      <c r="G103" s="18" t="str">
        <f>IF(F103=""," ",VLOOKUP(F103,'Project List 2026'!A:J,6,0))</f>
        <v>External</v>
      </c>
      <c r="H103" s="98">
        <f>IF(F103="","",VLOOKUP(F103,'Project List 2026'!A:H,8,0))</f>
        <v>31322625</v>
      </c>
      <c r="J103" s="18">
        <f>IF(F103=""," ",VLOOKUP(F103,'Project List 2026'!A:O,14,0))</f>
        <v>1</v>
      </c>
      <c r="K103" s="18" t="str">
        <f>IF(F103=""," ",VLOOKUP(F103,'Project List 2026'!A:T,9,0))</f>
        <v>Ongoing</v>
      </c>
      <c r="L103" s="18">
        <f>IF(F103=""," ",VLOOKUP(F103,'Project List 2026'!A:M,13,0))</f>
        <v>42861.279999999999</v>
      </c>
      <c r="Q103" s="116"/>
      <c r="R103" s="116"/>
      <c r="S103" s="116">
        <v>0.5</v>
      </c>
      <c r="T103" s="116">
        <v>0.3</v>
      </c>
      <c r="U103" s="116">
        <v>0.3</v>
      </c>
      <c r="V103" s="116">
        <v>0.3</v>
      </c>
      <c r="W103" s="116">
        <v>0.3</v>
      </c>
      <c r="X103" s="116"/>
      <c r="Y103" s="18" t="str">
        <f>IF(ISNA(VLOOKUP(F103,'Project List 2026'!A:A,1,FALSE)), "No", "Yes")</f>
        <v>Yes</v>
      </c>
    </row>
    <row r="104" spans="1:25" customFormat="1" ht="15">
      <c r="A104" s="18" t="str">
        <f>IF(F104=""," ",VLOOKUP(F104,'Project List 2026'!A:J,3,0))</f>
        <v>Hosting</v>
      </c>
      <c r="B104" s="18" t="str">
        <f>IF(F104=""," ",VLOOKUP(F104,'Project List 2026'!A:N,4,0))</f>
        <v>Hosting Programs</v>
      </c>
      <c r="C104" s="16" t="str">
        <f>IF(F104=""," ",VLOOKUP(E104,RefData!AG:AH,2,FALSE))</f>
        <v>Infra Services</v>
      </c>
      <c r="D104" s="18" t="str">
        <f>IF(F104=""," ",VLOOKUP(F104,'Project List 2026'!A:J,5,0))</f>
        <v>Jana Veberova</v>
      </c>
      <c r="E104" t="s">
        <v>223</v>
      </c>
      <c r="F104" s="7" t="s">
        <v>234</v>
      </c>
      <c r="G104" s="18" t="str">
        <f>IF(F104=""," ",VLOOKUP(F104,'Project List 2026'!A:J,6,0))</f>
        <v>External</v>
      </c>
      <c r="H104" s="98" t="str">
        <f>IF(F104="","",VLOOKUP(F104,'Project List 2026'!A:H,8,0))</f>
        <v>n/a</v>
      </c>
      <c r="J104" s="18">
        <f>IF(F104=""," ",VLOOKUP(F104,'Project List 2026'!A:O,14,0))</f>
        <v>1</v>
      </c>
      <c r="K104" s="18" t="str">
        <f>IF(F104=""," ",VLOOKUP(F104,'Project List 2026'!A:T,9,0))</f>
        <v>Ongoing</v>
      </c>
      <c r="L104" s="101">
        <v>1</v>
      </c>
      <c r="Q104" s="116"/>
      <c r="R104" s="116"/>
      <c r="S104" s="116">
        <v>0.2</v>
      </c>
      <c r="T104" s="116">
        <v>0.2</v>
      </c>
      <c r="U104" s="116">
        <v>0.2</v>
      </c>
      <c r="V104" s="116">
        <v>0.2</v>
      </c>
      <c r="W104" s="116">
        <v>0.2</v>
      </c>
      <c r="X104" s="116">
        <v>0.2</v>
      </c>
      <c r="Y104" s="18" t="str">
        <f>IF(ISNA(VLOOKUP(F104,'Project List 2026'!A:A,1,FALSE)), "No", "Yes")</f>
        <v>Yes</v>
      </c>
    </row>
    <row r="105" spans="1:25" ht="15">
      <c r="A105" s="18" t="str">
        <f>IF(F105=""," ",VLOOKUP(F105,'Project List 2026'!A:J,3,0))</f>
        <v>Hosting</v>
      </c>
      <c r="B105" s="18" t="str">
        <f>IF(F105=""," ",VLOOKUP(F105,'Project List 2026'!A:N,4,0))</f>
        <v>Hosting Programs</v>
      </c>
      <c r="C105" s="16" t="str">
        <f>IF(F105=""," ",VLOOKUP(E105,RefData!AG:AH,2,FALSE))</f>
        <v>Infra Services</v>
      </c>
      <c r="D105" s="18" t="str">
        <f>IF(F105=""," ",VLOOKUP(F105,'Project List 2026'!A:J,5,0))</f>
        <v>Neeraja Duddu</v>
      </c>
      <c r="E105" s="73" t="s">
        <v>217</v>
      </c>
      <c r="F105" t="s">
        <v>308</v>
      </c>
      <c r="G105" s="18" t="str">
        <f>IF(F105=""," ",VLOOKUP(F105,'Project List 2026'!A:J,6,0))</f>
        <v>Internal</v>
      </c>
      <c r="H105" s="98" t="str">
        <f>IF(F105="","",VLOOKUP(F105,'Project List 2026'!A:H,8,0))</f>
        <v>89101263 </v>
      </c>
      <c r="J105" s="18">
        <f>IF(F105=""," ",VLOOKUP(F105,'Project List 2026'!A:O,14,0))</f>
        <v>1</v>
      </c>
      <c r="K105" s="18" t="str">
        <f>IF(F105=""," ",VLOOKUP(F105,'Project List 2026'!A:T,9,0))</f>
        <v>Ongoing</v>
      </c>
      <c r="L105" s="18">
        <f>IF(F105=""," ",VLOOKUP(F105,'Project List 2026'!A:M,13,0))</f>
        <v>0</v>
      </c>
      <c r="Q105" s="116"/>
      <c r="R105" s="116"/>
      <c r="S105" s="116">
        <v>0.4</v>
      </c>
      <c r="T105" s="116">
        <v>0.5</v>
      </c>
      <c r="U105" s="116">
        <v>0.5</v>
      </c>
      <c r="V105" s="116">
        <v>0.5</v>
      </c>
      <c r="W105" s="116">
        <v>0.5</v>
      </c>
      <c r="X105" s="116">
        <v>0.5</v>
      </c>
    </row>
    <row r="106" spans="1:25" ht="15">
      <c r="A106" s="18" t="str">
        <f>IF(F106=""," ",VLOOKUP(F106,'Project List 2026'!A:J,3,0))</f>
        <v>Hosting</v>
      </c>
      <c r="B106" s="18" t="str">
        <f>IF(F106=""," ",VLOOKUP(F106,'Project List 2026'!A:N,4,0))</f>
        <v>Hosting Programs</v>
      </c>
      <c r="C106" s="16" t="str">
        <f>IF(F106=""," ",VLOOKUP(E106,RefData!AG:AH,2,FALSE))</f>
        <v>Infra Services</v>
      </c>
      <c r="D106" s="18" t="str">
        <f>IF(F106=""," ",VLOOKUP(F106,'Project List 2026'!A:J,5,0))</f>
        <v>Hana Sinska</v>
      </c>
      <c r="E106" s="73" t="s">
        <v>367</v>
      </c>
      <c r="F106" t="s">
        <v>460</v>
      </c>
      <c r="G106" s="18" t="str">
        <f>IF(F106=""," ",VLOOKUP(F106,'Project List 2026'!A:J,6,0))</f>
        <v>External</v>
      </c>
      <c r="H106" s="98">
        <f>IF(F106="","",VLOOKUP(F106,'Project List 2026'!A:H,8,0))</f>
        <v>31322625</v>
      </c>
      <c r="J106" s="18">
        <f>IF(F106=""," ",VLOOKUP(F106,'Project List 2026'!A:O,14,0))</f>
        <v>1</v>
      </c>
      <c r="K106" s="18" t="str">
        <f>IF(F106=""," ",VLOOKUP(F106,'Project List 2026'!A:T,9,0))</f>
        <v>Ongoing</v>
      </c>
      <c r="L106" s="18">
        <f>IF(F106=""," ",VLOOKUP(F106,'Project List 2026'!A:M,13,0))</f>
        <v>42861.279999999999</v>
      </c>
      <c r="Q106" s="116"/>
      <c r="R106" s="116">
        <v>0.3</v>
      </c>
      <c r="S106" s="116">
        <v>0.3</v>
      </c>
      <c r="T106" s="116">
        <v>0.4</v>
      </c>
      <c r="U106" s="116">
        <v>0.4</v>
      </c>
      <c r="V106" s="116">
        <v>0.3</v>
      </c>
      <c r="W106" s="116">
        <v>0.3</v>
      </c>
      <c r="X106" s="116">
        <v>0.3</v>
      </c>
    </row>
    <row r="107" spans="1:25" ht="15">
      <c r="A107" s="18" t="str">
        <f>IF(F107=""," ",VLOOKUP(F107,'Project List 2026'!A:J,3,0))</f>
        <v>Hosting</v>
      </c>
      <c r="B107" s="18" t="str">
        <f>IF(F107=""," ",VLOOKUP(F107,'Project List 2026'!A:N,4,0))</f>
        <v>Hosting Programs</v>
      </c>
      <c r="C107" s="16" t="str">
        <f>IF(F107=""," ",VLOOKUP(E107,RefData!AG:AH,2,FALSE))</f>
        <v>Infra Services</v>
      </c>
      <c r="D107" s="18" t="str">
        <f>IF(F107=""," ",VLOOKUP(F107,'Project List 2026'!A:J,5,0))</f>
        <v>Neeraja Duddu</v>
      </c>
      <c r="E107" s="73" t="s">
        <v>367</v>
      </c>
      <c r="F107" s="44" t="s">
        <v>301</v>
      </c>
      <c r="G107" s="18" t="str">
        <f>IF(F107=""," ",VLOOKUP(F107,'Project List 2026'!A:J,6,0))</f>
        <v>Internal</v>
      </c>
      <c r="H107" s="98" t="str">
        <f>IF(F107="","",VLOOKUP(F107,'Project List 2026'!A:H,8,0))</f>
        <v>n/a</v>
      </c>
      <c r="J107" s="18">
        <f>IF(F107=""," ",VLOOKUP(F107,'Project List 2026'!A:O,14,0))</f>
        <v>1</v>
      </c>
      <c r="K107" s="18" t="str">
        <f>IF(F107=""," ",VLOOKUP(F107,'Project List 2026'!A:T,9,0))</f>
        <v>Ongoing</v>
      </c>
      <c r="L107" s="18">
        <f>IF(F107=""," ",VLOOKUP(F107,'Project List 2026'!A:M,13,0))</f>
        <v>0</v>
      </c>
      <c r="Q107" s="116">
        <v>0.25</v>
      </c>
      <c r="R107" s="116">
        <v>0.3</v>
      </c>
      <c r="S107" s="116"/>
      <c r="T107" s="116"/>
      <c r="U107" s="116"/>
      <c r="V107" s="116"/>
      <c r="W107" s="116"/>
      <c r="X107" s="116"/>
    </row>
    <row r="108" spans="1:25" ht="15">
      <c r="A108" s="18" t="str">
        <f>IF(F108=""," ",VLOOKUP(F108,'Project List 2026'!A:J,3,0))</f>
        <v>Hosting</v>
      </c>
      <c r="B108" s="18" t="str">
        <f>IF(F108=""," ",VLOOKUP(F108,'Project List 2026'!A:N,4,0))</f>
        <v>Hosting Programs</v>
      </c>
      <c r="C108" s="16" t="str">
        <f>IF(F108=""," ",VLOOKUP(E108,RefData!AG:AH,2,FALSE))</f>
        <v>Infra Services</v>
      </c>
      <c r="D108" s="18" t="str">
        <f>IF(F108=""," ",VLOOKUP(F108,'Project List 2026'!A:J,5,0))</f>
        <v>Jana Veberova</v>
      </c>
      <c r="E108" s="73" t="s">
        <v>367</v>
      </c>
      <c r="F108" s="7" t="s">
        <v>234</v>
      </c>
      <c r="G108" s="18" t="str">
        <f>IF(F108=""," ",VLOOKUP(F108,'Project List 2026'!A:J,6,0))</f>
        <v>External</v>
      </c>
      <c r="H108" s="98" t="str">
        <f>IF(F108="","",VLOOKUP(F108,'Project List 2026'!A:H,8,0))</f>
        <v>n/a</v>
      </c>
      <c r="J108" s="18">
        <f>IF(F108=""," ",VLOOKUP(F108,'Project List 2026'!A:O,14,0))</f>
        <v>1</v>
      </c>
      <c r="K108" s="18" t="str">
        <f>IF(F108=""," ",VLOOKUP(F108,'Project List 2026'!A:T,9,0))</f>
        <v>Ongoing</v>
      </c>
      <c r="L108" s="18">
        <f>IF(F108=""," ",VLOOKUP(F108,'Project List 2026'!A:M,13,0))</f>
        <v>36000</v>
      </c>
      <c r="Q108" s="116"/>
      <c r="R108" s="116">
        <v>0.2</v>
      </c>
      <c r="S108" s="116">
        <v>0.25</v>
      </c>
      <c r="T108" s="116">
        <v>0.25</v>
      </c>
      <c r="U108" s="116">
        <v>0.25</v>
      </c>
      <c r="V108" s="116">
        <v>0.25</v>
      </c>
      <c r="W108" s="116">
        <v>0.25</v>
      </c>
      <c r="X108" s="116">
        <v>0.25</v>
      </c>
    </row>
    <row r="109" spans="1:25" ht="15">
      <c r="A109" s="18" t="str">
        <f>IF(F109=""," ",VLOOKUP(F109,'Project List 2026'!A:J,3,0))</f>
        <v>Hosting</v>
      </c>
      <c r="B109" s="18" t="str">
        <f>IF(F109=""," ",VLOOKUP(F109,'Project List 2026'!A:N,4,0))</f>
        <v>Hosting Programs</v>
      </c>
      <c r="C109" s="16" t="str">
        <f>IF(F109=""," ",VLOOKUP(E109,RefData!AG:AH,2,FALSE))</f>
        <v>Infra Services</v>
      </c>
      <c r="D109" s="18" t="str">
        <f>IF(F109=""," ",VLOOKUP(F109,'Project List 2026'!A:J,5,0))</f>
        <v>Neeraja Duddu</v>
      </c>
      <c r="E109" s="18" t="s">
        <v>299</v>
      </c>
      <c r="F109" s="44" t="s">
        <v>301</v>
      </c>
      <c r="G109" s="18" t="str">
        <f>IF(F109=""," ",VLOOKUP(F109,'Project List 2026'!A:J,6,0))</f>
        <v>Internal</v>
      </c>
      <c r="H109" s="98" t="str">
        <f>IF(F109="","",VLOOKUP(F109,'Project List 2026'!A:H,8,0))</f>
        <v>n/a</v>
      </c>
      <c r="J109" s="18">
        <f>IF(F109=""," ",VLOOKUP(F109,'Project List 2026'!A:O,14,0))</f>
        <v>1</v>
      </c>
      <c r="K109" s="18" t="str">
        <f>IF(F109=""," ",VLOOKUP(F109,'Project List 2026'!A:T,9,0))</f>
        <v>Ongoing</v>
      </c>
      <c r="L109" s="18">
        <f>IF(F109=""," ",VLOOKUP(F109,'Project List 2026'!A:M,13,0))</f>
        <v>0</v>
      </c>
      <c r="Q109" s="116"/>
      <c r="R109" s="116"/>
      <c r="S109" s="116">
        <v>0.3</v>
      </c>
      <c r="T109" s="116">
        <v>1</v>
      </c>
      <c r="U109" s="116">
        <v>0.15</v>
      </c>
      <c r="V109" s="116"/>
      <c r="W109" s="116"/>
      <c r="X109" s="116"/>
    </row>
    <row r="110" spans="1:25" ht="15">
      <c r="A110" s="18" t="str">
        <f>IF(F110=""," ",VLOOKUP(F110,'Project List 2026'!A:J,3,0))</f>
        <v>Telecoms</v>
      </c>
      <c r="B110" s="18" t="str">
        <f>IF(F110=""," ",VLOOKUP(F110,'Project List 2026'!A:N,4,0))</f>
        <v>Telecoms</v>
      </c>
      <c r="C110" s="16" t="str">
        <f>IF(F110=""," ",VLOOKUP(E110,RefData!AG:AH,2,FALSE))</f>
        <v>Telecoms</v>
      </c>
      <c r="D110" s="18" t="str">
        <f>IF(F110=""," ",VLOOKUP(F110,'Project List 2026'!A:J,5,0))</f>
        <v>Pavla Zidkova</v>
      </c>
      <c r="E110" s="73" t="s">
        <v>479</v>
      </c>
      <c r="F110" s="7" t="s">
        <v>478</v>
      </c>
      <c r="G110" s="18" t="str">
        <f>IF(F110=""," ",VLOOKUP(F110,'Project List 2026'!A:J,6,0))</f>
        <v>Internal</v>
      </c>
      <c r="H110" s="98">
        <f>IF(F110="","",VLOOKUP(F110,'Project List 2026'!A:H,8,0))</f>
        <v>0</v>
      </c>
      <c r="J110" s="18">
        <f>IF(F110=""," ",VLOOKUP(F110,'Project List 2026'!A:O,14,0))</f>
        <v>1</v>
      </c>
      <c r="K110" s="18" t="str">
        <f>IF(F110=""," ",VLOOKUP(F110,'Project List 2026'!A:T,9,0))</f>
        <v>Initiation</v>
      </c>
      <c r="L110" s="18">
        <f>IF(F110=""," ",VLOOKUP(F110,'Project List 2026'!A:M,13,0))</f>
        <v>0</v>
      </c>
      <c r="R110" s="116">
        <v>0.1</v>
      </c>
      <c r="S110" s="116">
        <v>0.2</v>
      </c>
      <c r="T110" s="116">
        <v>0.2</v>
      </c>
      <c r="U110" s="116">
        <v>0.2</v>
      </c>
    </row>
    <row r="111" spans="1:25" ht="15">
      <c r="A111" s="18" t="e">
        <f>IF(F111=""," ",VLOOKUP(F111,'Project List 2026'!A:J,3,0))</f>
        <v>#N/A</v>
      </c>
      <c r="B111" s="18" t="e">
        <f>IF(F111=""," ",VLOOKUP(F111,'Project List 2026'!A:N,4,0))</f>
        <v>#N/A</v>
      </c>
      <c r="C111" s="16" t="str">
        <f>IF(F111=""," ",VLOOKUP(E111,RefData!AG:AH,2,FALSE))</f>
        <v>Infra Services</v>
      </c>
      <c r="D111" s="18" t="e">
        <f>IF(F111=""," ",VLOOKUP(F111,'Project List 2026'!A:J,5,0))</f>
        <v>#N/A</v>
      </c>
      <c r="E111" s="73" t="s">
        <v>661</v>
      </c>
      <c r="F111" t="s">
        <v>662</v>
      </c>
      <c r="G111" s="18" t="e">
        <f>IF(F111=""," ",VLOOKUP(F111,'Project List 2026'!A:J,6,0))</f>
        <v>#N/A</v>
      </c>
      <c r="H111" s="98" t="e">
        <f>IF(F111="","",VLOOKUP(F111,'Project List 2026'!A:H,8,0))</f>
        <v>#N/A</v>
      </c>
      <c r="J111" s="18" t="e">
        <f>IF(F111=""," ",VLOOKUP(F111,'Project List 2026'!A:O,14,0))</f>
        <v>#N/A</v>
      </c>
      <c r="K111" s="18" t="e">
        <f>IF(F111=""," ",VLOOKUP(F111,'Project List 2026'!A:T,9,0))</f>
        <v>#N/A</v>
      </c>
      <c r="L111" s="18" t="e">
        <f>IF(F111=""," ",VLOOKUP(F111,'Project List 2026'!A:M,13,0))</f>
        <v>#N/A</v>
      </c>
    </row>
    <row r="112" spans="1:25" ht="15">
      <c r="A112" s="18" t="e">
        <f>IF(F112=""," ",VLOOKUP(F112,'Project List 2026'!A:J,3,0))</f>
        <v>#N/A</v>
      </c>
      <c r="B112" s="18" t="e">
        <f>IF(F112=""," ",VLOOKUP(F112,'Project List 2026'!A:N,4,0))</f>
        <v>#N/A</v>
      </c>
      <c r="C112" s="16" t="str">
        <f>IF(F112=""," ",VLOOKUP(E112,RefData!AG:AH,2,FALSE))</f>
        <v>Infra Services</v>
      </c>
      <c r="D112" s="18" t="e">
        <f>IF(F112=""," ",VLOOKUP(F112,'Project List 2026'!A:J,5,0))</f>
        <v>#N/A</v>
      </c>
      <c r="E112" s="73" t="s">
        <v>661</v>
      </c>
      <c r="F112" t="s">
        <v>663</v>
      </c>
      <c r="G112" s="18" t="e">
        <f>IF(F112=""," ",VLOOKUP(F112,'Project List 2026'!A:J,6,0))</f>
        <v>#N/A</v>
      </c>
      <c r="H112" s="98" t="e">
        <f>IF(F112="","",VLOOKUP(F112,'Project List 2026'!A:H,8,0))</f>
        <v>#N/A</v>
      </c>
      <c r="J112" s="18" t="e">
        <f>IF(F112=""," ",VLOOKUP(F112,'Project List 2026'!A:O,14,0))</f>
        <v>#N/A</v>
      </c>
      <c r="K112" s="18" t="e">
        <f>IF(F112=""," ",VLOOKUP(F112,'Project List 2026'!A:T,9,0))</f>
        <v>#N/A</v>
      </c>
      <c r="L112" s="18" t="e">
        <f>IF(F112=""," ",VLOOKUP(F112,'Project List 2026'!A:M,13,0))</f>
        <v>#N/A</v>
      </c>
    </row>
    <row r="113" spans="1:24" ht="15">
      <c r="A113" s="18" t="e">
        <f>IF(F113=""," ",VLOOKUP(F113,'Project List 2026'!A:J,3,0))</f>
        <v>#N/A</v>
      </c>
      <c r="B113" s="18" t="e">
        <f>IF(F113=""," ",VLOOKUP(F113,'Project List 2026'!A:N,4,0))</f>
        <v>#N/A</v>
      </c>
      <c r="C113" s="16" t="str">
        <f>IF(F113=""," ",VLOOKUP(E113,RefData!AG:AH,2,FALSE))</f>
        <v>Infra Services</v>
      </c>
      <c r="D113" s="18" t="e">
        <f>IF(F113=""," ",VLOOKUP(F113,'Project List 2026'!A:J,5,0))</f>
        <v>#N/A</v>
      </c>
      <c r="E113" s="73" t="s">
        <v>661</v>
      </c>
      <c r="F113" t="s">
        <v>664</v>
      </c>
      <c r="G113" s="18" t="e">
        <f>IF(F113=""," ",VLOOKUP(F113,'Project List 2026'!A:J,6,0))</f>
        <v>#N/A</v>
      </c>
      <c r="H113" s="98" t="e">
        <f>IF(F113="","",VLOOKUP(F113,'Project List 2026'!A:H,8,0))</f>
        <v>#N/A</v>
      </c>
      <c r="J113" s="18" t="e">
        <f>IF(F113=""," ",VLOOKUP(F113,'Project List 2026'!A:O,14,0))</f>
        <v>#N/A</v>
      </c>
      <c r="K113" s="18" t="e">
        <f>IF(F113=""," ",VLOOKUP(F113,'Project List 2026'!A:T,9,0))</f>
        <v>#N/A</v>
      </c>
      <c r="L113" s="18" t="e">
        <f>IF(F113=""," ",VLOOKUP(F113,'Project List 2026'!A:M,13,0))</f>
        <v>#N/A</v>
      </c>
    </row>
    <row r="114" spans="1:24" ht="15">
      <c r="A114" s="18" t="e">
        <f>IF(F114=""," ",VLOOKUP(F114,'Project List 2026'!A:J,3,0))</f>
        <v>#N/A</v>
      </c>
      <c r="B114" s="18" t="e">
        <f>IF(F114=""," ",VLOOKUP(F114,'Project List 2026'!A:N,4,0))</f>
        <v>#N/A</v>
      </c>
      <c r="C114" s="16" t="str">
        <f>IF(F114=""," ",VLOOKUP(E114,RefData!AG:AH,2,FALSE))</f>
        <v>Infra Services</v>
      </c>
      <c r="D114" s="18" t="e">
        <f>IF(F114=""," ",VLOOKUP(F114,'Project List 2026'!A:J,5,0))</f>
        <v>#N/A</v>
      </c>
      <c r="E114" s="73" t="s">
        <v>661</v>
      </c>
      <c r="F114" t="s">
        <v>665</v>
      </c>
      <c r="G114" s="18" t="e">
        <f>IF(F114=""," ",VLOOKUP(F114,'Project List 2026'!A:J,6,0))</f>
        <v>#N/A</v>
      </c>
      <c r="H114" s="98" t="e">
        <f>IF(F114="","",VLOOKUP(F114,'Project List 2026'!A:H,8,0))</f>
        <v>#N/A</v>
      </c>
      <c r="J114" s="18" t="e">
        <f>IF(F114=""," ",VLOOKUP(F114,'Project List 2026'!A:O,14,0))</f>
        <v>#N/A</v>
      </c>
      <c r="K114" s="18" t="e">
        <f>IF(F114=""," ",VLOOKUP(F114,'Project List 2026'!A:T,9,0))</f>
        <v>#N/A</v>
      </c>
      <c r="L114" s="18" t="e">
        <f>IF(F114=""," ",VLOOKUP(F114,'Project List 2026'!A:M,13,0))</f>
        <v>#N/A</v>
      </c>
    </row>
    <row r="115" spans="1:24" ht="15">
      <c r="A115" s="18" t="e">
        <f>IF(F115=""," ",VLOOKUP(F115,'Project List 2026'!A:J,3,0))</f>
        <v>#N/A</v>
      </c>
      <c r="B115" s="18" t="e">
        <f>IF(F115=""," ",VLOOKUP(F115,'Project List 2026'!A:N,4,0))</f>
        <v>#N/A</v>
      </c>
      <c r="C115" s="16" t="str">
        <f>IF(F115=""," ",VLOOKUP(E115,RefData!AG:AH,2,FALSE))</f>
        <v>Infra Services</v>
      </c>
      <c r="D115" s="18" t="e">
        <f>IF(F115=""," ",VLOOKUP(F115,'Project List 2026'!A:J,5,0))</f>
        <v>#N/A</v>
      </c>
      <c r="E115" s="73" t="s">
        <v>661</v>
      </c>
      <c r="F115" t="s">
        <v>666</v>
      </c>
      <c r="G115" s="18" t="e">
        <f>IF(F115=""," ",VLOOKUP(F115,'Project List 2026'!A:J,6,0))</f>
        <v>#N/A</v>
      </c>
      <c r="H115" s="98" t="e">
        <f>IF(F115="","",VLOOKUP(F115,'Project List 2026'!A:H,8,0))</f>
        <v>#N/A</v>
      </c>
      <c r="J115" s="18" t="e">
        <f>IF(F115=""," ",VLOOKUP(F115,'Project List 2026'!A:O,14,0))</f>
        <v>#N/A</v>
      </c>
      <c r="K115" s="18" t="e">
        <f>IF(F115=""," ",VLOOKUP(F115,'Project List 2026'!A:T,9,0))</f>
        <v>#N/A</v>
      </c>
      <c r="L115" s="18" t="e">
        <f>IF(F115=""," ",VLOOKUP(F115,'Project List 2026'!A:M,13,0))</f>
        <v>#N/A</v>
      </c>
    </row>
    <row r="116" spans="1:24" ht="15">
      <c r="A116" s="18" t="str">
        <f>IF(F116=""," ",VLOOKUP(F116,'Project List 2026'!A:J,3,0))</f>
        <v>Telecoms</v>
      </c>
      <c r="B116" s="18" t="str">
        <f>IF(F116=""," ",VLOOKUP(F116,'Project List 2026'!A:N,4,0))</f>
        <v>Telecoms</v>
      </c>
      <c r="C116" s="16" t="str">
        <f>IF(F116=""," ",VLOOKUP(E116,RefData!AG:AH,2,FALSE))</f>
        <v>Telecoms</v>
      </c>
      <c r="D116" s="18" t="str">
        <f>IF(F116=""," ",VLOOKUP(F116,'Project List 2026'!A:J,5,0))</f>
        <v>Kirill Shabalkin</v>
      </c>
      <c r="E116" s="73" t="s">
        <v>250</v>
      </c>
      <c r="F116" s="41" t="s">
        <v>483</v>
      </c>
      <c r="G116" s="18" t="str">
        <f>IF(F116=""," ",VLOOKUP(F116,'Project List 2026'!A:J,6,0))</f>
        <v>Internal</v>
      </c>
      <c r="H116" s="98">
        <f>IF(F116="","",VLOOKUP(F116,'Project List 2026'!A:H,8,0))</f>
        <v>89101178</v>
      </c>
      <c r="J116" s="18">
        <f>IF(F116=""," ",VLOOKUP(F116,'Project List 2026'!A:O,14,0))</f>
        <v>1</v>
      </c>
      <c r="K116" s="18" t="str">
        <f>IF(F116=""," ",VLOOKUP(F116,'Project List 2026'!A:T,9,0))</f>
        <v>Ongoing</v>
      </c>
      <c r="L116" s="18">
        <f>IF(F116=""," ",VLOOKUP(F116,'Project List 2026'!A:M,13,0))</f>
        <v>0</v>
      </c>
      <c r="R116" s="1">
        <v>0.1</v>
      </c>
      <c r="S116" s="1">
        <v>0.1</v>
      </c>
      <c r="T116" s="1">
        <v>0.1</v>
      </c>
      <c r="U116" s="1">
        <v>0.1</v>
      </c>
      <c r="V116" s="1"/>
      <c r="W116" s="1"/>
      <c r="X116" s="1"/>
    </row>
    <row r="117" spans="1:24" ht="15">
      <c r="A117" s="18" t="str">
        <f>IF(F117=""," ",VLOOKUP(F117,'Project List 2026'!A:J,3,0))</f>
        <v>Telecoms</v>
      </c>
      <c r="B117" s="18" t="str">
        <f>IF(F117=""," ",VLOOKUP(F117,'Project List 2026'!A:N,4,0))</f>
        <v>Others</v>
      </c>
      <c r="C117" s="16" t="str">
        <f>IF(F117=""," ",VLOOKUP(E117,RefData!AG:AH,2,FALSE))</f>
        <v>Telecoms</v>
      </c>
      <c r="D117" s="18" t="str">
        <f>IF(F117=""," ",VLOOKUP(F117,'Project List 2026'!A:J,5,0))</f>
        <v>Kirill Shabalkin</v>
      </c>
      <c r="E117" s="73" t="s">
        <v>250</v>
      </c>
      <c r="F117" s="41" t="s">
        <v>484</v>
      </c>
      <c r="G117" s="18" t="str">
        <f>IF(F117=""," ",VLOOKUP(F117,'Project List 2026'!A:J,6,0))</f>
        <v>Internal</v>
      </c>
      <c r="H117" s="98">
        <f>IF(F117="","",VLOOKUP(F117,'Project List 2026'!A:H,8,0))</f>
        <v>89100541</v>
      </c>
      <c r="J117" s="18">
        <f>IF(F117=""," ",VLOOKUP(F117,'Project List 2026'!A:O,14,0))</f>
        <v>1</v>
      </c>
      <c r="K117" s="18" t="str">
        <f>IF(F117=""," ",VLOOKUP(F117,'Project List 2026'!A:T,9,0))</f>
        <v>Ongoing</v>
      </c>
      <c r="L117" s="18">
        <f>IF(F117=""," ",VLOOKUP(F117,'Project List 2026'!A:M,13,0))</f>
        <v>0</v>
      </c>
      <c r="R117" s="1">
        <v>0.5</v>
      </c>
      <c r="S117" s="1">
        <v>0.5</v>
      </c>
      <c r="T117" s="1">
        <v>0.5</v>
      </c>
      <c r="U117" s="1">
        <v>0.5</v>
      </c>
      <c r="V117" s="1"/>
      <c r="W117" s="1"/>
      <c r="X117" s="1"/>
    </row>
    <row r="118" spans="1:24" ht="15">
      <c r="A118" s="18" t="str">
        <f>IF(F118=""," ",VLOOKUP(F118,'Project List 2026'!A:J,3,0))</f>
        <v>Telecoms</v>
      </c>
      <c r="B118" s="18" t="str">
        <f>IF(F118=""," ",VLOOKUP(F118,'Project List 2026'!A:N,4,0))</f>
        <v>Telecoms</v>
      </c>
      <c r="C118" s="16" t="str">
        <f>IF(F118=""," ",VLOOKUP(E118,RefData!AG:AH,2,FALSE))</f>
        <v>Telecoms</v>
      </c>
      <c r="D118" s="18" t="str">
        <f>IF(F118=""," ",VLOOKUP(F118,'Project List 2026'!A:J,5,0))</f>
        <v>Zdenek Novotny</v>
      </c>
      <c r="E118" s="73" t="s">
        <v>451</v>
      </c>
      <c r="F118" s="73" t="s">
        <v>481</v>
      </c>
      <c r="G118" s="18" t="str">
        <f>IF(F118=""," ",VLOOKUP(F118,'Project List 2026'!A:J,6,0))</f>
        <v>External</v>
      </c>
      <c r="H118" s="98">
        <f>IF(F118="","",VLOOKUP(F118,'Project List 2026'!A:H,8,0))</f>
        <v>31322674</v>
      </c>
      <c r="I118"/>
      <c r="J118" s="18">
        <f>IF(F118=""," ",VLOOKUP(F118,'Project List 2026'!A:O,14,0))</f>
        <v>1</v>
      </c>
      <c r="K118" s="18" t="str">
        <f>IF(F118=""," ",VLOOKUP(F118,'Project List 2026'!A:T,9,0))</f>
        <v>Ongoing</v>
      </c>
      <c r="L118" s="18">
        <f>IF(F118=""," ",VLOOKUP(F118,'Project List 2026'!A:M,13,0))</f>
        <v>86549</v>
      </c>
      <c r="R118" s="116">
        <v>0.2</v>
      </c>
      <c r="S118" s="116">
        <v>0.2</v>
      </c>
    </row>
    <row r="119" spans="1:24" ht="15">
      <c r="A119" s="18" t="str">
        <f>IF(F119=""," ",VLOOKUP(F119,'Project List 2026'!A:J,3,0))</f>
        <v>Telecoms</v>
      </c>
      <c r="B119" s="18" t="str">
        <f>IF(F119=""," ",VLOOKUP(F119,'Project List 2026'!A:N,4,0))</f>
        <v>Telecoms</v>
      </c>
      <c r="C119" s="16" t="str">
        <f>IF(F119=""," ",VLOOKUP(E119,RefData!AG:AH,2,FALSE))</f>
        <v>Telecoms</v>
      </c>
      <c r="D119" s="18" t="str">
        <f>IF(F119=""," ",VLOOKUP(F119,'Project List 2026'!A:J,5,0))</f>
        <v>Zdenek Novotny</v>
      </c>
      <c r="E119" s="73" t="s">
        <v>660</v>
      </c>
      <c r="F119" s="73" t="s">
        <v>481</v>
      </c>
      <c r="G119" s="18" t="str">
        <f>IF(F119=""," ",VLOOKUP(F119,'Project List 2026'!A:J,6,0))</f>
        <v>External</v>
      </c>
      <c r="H119" s="98">
        <f>IF(F119="","",VLOOKUP(F119,'Project List 2026'!A:H,8,0))</f>
        <v>31322674</v>
      </c>
      <c r="I119"/>
      <c r="J119" s="18">
        <f>IF(F119=""," ",VLOOKUP(F119,'Project List 2026'!A:O,14,0))</f>
        <v>1</v>
      </c>
      <c r="K119" s="18" t="str">
        <f>IF(F119=""," ",VLOOKUP(F119,'Project List 2026'!A:T,9,0))</f>
        <v>Ongoing</v>
      </c>
      <c r="L119" s="18">
        <f>IF(F119=""," ",VLOOKUP(F119,'Project List 2026'!A:M,13,0))</f>
        <v>86549</v>
      </c>
      <c r="R119" s="116">
        <v>0.3</v>
      </c>
      <c r="S119" s="116">
        <v>0.3</v>
      </c>
    </row>
    <row r="120" spans="1:24" ht="15">
      <c r="A120" s="18" t="e">
        <f>IF(F120=""," ",VLOOKUP(F120,'Project List 2026'!A:J,3,0))</f>
        <v>#N/A</v>
      </c>
      <c r="B120" s="18" t="e">
        <f>IF(F120=""," ",VLOOKUP(F120,'Project List 2026'!A:N,4,0))</f>
        <v>#N/A</v>
      </c>
      <c r="C120" s="16" t="str">
        <f>IF(F120=""," ",VLOOKUP(E120,RefData!AG:AH,2,FALSE))</f>
        <v>Telecoms</v>
      </c>
      <c r="D120" s="18" t="e">
        <f>IF(F120=""," ",VLOOKUP(F120,'Project List 2026'!A:J,5,0))</f>
        <v>#N/A</v>
      </c>
      <c r="E120" s="73" t="s">
        <v>20</v>
      </c>
      <c r="F120" s="73" t="s">
        <v>667</v>
      </c>
      <c r="G120" s="18" t="e">
        <f>IF(F120=""," ",VLOOKUP(F120,'Project List 2026'!A:J,6,0))</f>
        <v>#N/A</v>
      </c>
      <c r="H120" s="98" t="e">
        <f>IF(F120="","",VLOOKUP(F120,'Project List 2026'!A:H,8,0))</f>
        <v>#N/A</v>
      </c>
      <c r="I120"/>
      <c r="J120" s="18" t="e">
        <f>IF(F120=""," ",VLOOKUP(F120,'Project List 2026'!A:O,14,0))</f>
        <v>#N/A</v>
      </c>
      <c r="K120" s="18" t="e">
        <f>IF(F120=""," ",VLOOKUP(F120,'Project List 2026'!A:T,9,0))</f>
        <v>#N/A</v>
      </c>
      <c r="L120" s="18" t="e">
        <f>IF(F120=""," ",VLOOKUP(F120,'Project List 2026'!A:M,13,0))</f>
        <v>#N/A</v>
      </c>
      <c r="S120" s="116">
        <v>0.3</v>
      </c>
      <c r="T120" s="116">
        <v>0.3</v>
      </c>
      <c r="U120" s="116">
        <v>0.3</v>
      </c>
      <c r="V120" s="116">
        <v>0.3</v>
      </c>
    </row>
    <row r="121" spans="1:24" ht="15">
      <c r="A121" s="18" t="str">
        <f>IF(F121=""," ",VLOOKUP(F121,'Project List 2026'!A:J,3,0))</f>
        <v>APAC</v>
      </c>
      <c r="B121" s="18" t="str">
        <f>IF(F121=""," ",VLOOKUP(F121,'Project List 2026'!A:N,4,0))</f>
        <v>DWS</v>
      </c>
      <c r="C121" s="16" t="str">
        <f>IF(F121=""," ",VLOOKUP(E121,RefData!AG:AH,2,FALSE))</f>
        <v>Telecoms-APAC</v>
      </c>
      <c r="D121" s="18" t="str">
        <f>IF(F121=""," ",VLOOKUP(F121,'Project List 2026'!A:J,5,0))</f>
        <v>Ruthie Buenafe</v>
      </c>
      <c r="E121" s="73" t="s">
        <v>330</v>
      </c>
      <c r="F121" t="s">
        <v>489</v>
      </c>
      <c r="G121" s="18" t="str">
        <f>IF(F121=""," ",VLOOKUP(F121,'Project List 2026'!A:J,6,0))</f>
        <v>Internal</v>
      </c>
      <c r="H121" s="98">
        <f>IF(F121="","",VLOOKUP(F121,'Project List 2026'!A:H,8,0))</f>
        <v>0</v>
      </c>
      <c r="I121"/>
      <c r="J121" s="18">
        <f>IF(F121=""," ",VLOOKUP(F121,'Project List 2026'!A:O,14,0))</f>
        <v>1</v>
      </c>
      <c r="K121" s="18" t="str">
        <f>IF(F121=""," ",VLOOKUP(F121,'Project List 2026'!A:T,9,0))</f>
        <v>Ongoing</v>
      </c>
      <c r="L121" s="18">
        <f>IF(F121=""," ",VLOOKUP(F121,'Project List 2026'!A:M,13,0))</f>
        <v>0</v>
      </c>
      <c r="R121" s="116">
        <v>0.1</v>
      </c>
      <c r="S121" s="116">
        <v>0.1</v>
      </c>
      <c r="T121" s="116">
        <v>0.1</v>
      </c>
      <c r="U121" s="116">
        <v>0.1</v>
      </c>
    </row>
    <row r="122" spans="1:24" ht="15">
      <c r="A122" s="18" t="str">
        <f>IF(F122=""," ",VLOOKUP(F122,'Project List 2026'!A:J,3,0))</f>
        <v>APAC</v>
      </c>
      <c r="B122" s="18" t="str">
        <f>IF(F122=""," ",VLOOKUP(F122,'Project List 2026'!A:N,4,0))</f>
        <v>DWS</v>
      </c>
      <c r="C122" s="16" t="str">
        <f>IF(F122=""," ",VLOOKUP(E122,RefData!AG:AH,2,FALSE))</f>
        <v>Telecoms-APAC</v>
      </c>
      <c r="D122" s="18" t="str">
        <f>IF(F122=""," ",VLOOKUP(F122,'Project List 2026'!A:J,5,0))</f>
        <v>Ruthie Buenafe</v>
      </c>
      <c r="E122" s="73" t="s">
        <v>330</v>
      </c>
      <c r="F122" t="s">
        <v>490</v>
      </c>
      <c r="G122" s="18" t="str">
        <f>IF(F122=""," ",VLOOKUP(F122,'Project List 2026'!A:J,6,0))</f>
        <v>External</v>
      </c>
      <c r="H122" s="98">
        <f>IF(F122="","",VLOOKUP(F122,'Project List 2026'!A:H,8,0))</f>
        <v>31321888</v>
      </c>
      <c r="I122"/>
      <c r="J122" s="18">
        <f>IF(F122=""," ",VLOOKUP(F122,'Project List 2026'!A:O,14,0))</f>
        <v>1</v>
      </c>
      <c r="K122" s="18" t="str">
        <f>IF(F122=""," ",VLOOKUP(F122,'Project List 2026'!A:T,9,0))</f>
        <v>Ongoing</v>
      </c>
      <c r="L122" s="18">
        <f>IF(F122=""," ",VLOOKUP(F122,'Project List 2026'!A:M,13,0))</f>
        <v>0</v>
      </c>
      <c r="S122" s="116">
        <v>0.2</v>
      </c>
      <c r="T122" s="116">
        <v>0.2</v>
      </c>
      <c r="U122" s="116">
        <v>0.2</v>
      </c>
      <c r="V122" s="116">
        <v>0.2</v>
      </c>
    </row>
    <row r="123" spans="1:24" ht="15">
      <c r="A123" s="18" t="str">
        <f>IF(F123=""," ",VLOOKUP(F123,'Project List 2026'!A:J,3,0))</f>
        <v>APAC</v>
      </c>
      <c r="B123" s="18" t="str">
        <f>IF(F123=""," ",VLOOKUP(F123,'Project List 2026'!A:N,4,0))</f>
        <v>Telecoms</v>
      </c>
      <c r="C123" s="16" t="str">
        <f>IF(F123=""," ",VLOOKUP(E123,RefData!AG:AH,2,FALSE))</f>
        <v>Telecoms-APAC</v>
      </c>
      <c r="D123" s="18" t="str">
        <f>IF(F123=""," ",VLOOKUP(F123,'Project List 2026'!A:J,5,0))</f>
        <v>Lisette Fincke</v>
      </c>
      <c r="E123" s="73" t="s">
        <v>264</v>
      </c>
      <c r="F123" s="19" t="s">
        <v>465</v>
      </c>
      <c r="G123" s="18" t="str">
        <f>IF(F123=""," ",VLOOKUP(F123,'Project List 2026'!A:J,6,0))</f>
        <v>External</v>
      </c>
      <c r="H123" s="98">
        <f>IF(F123="","",VLOOKUP(F123,'Project List 2026'!A:H,8,0))</f>
        <v>31322939</v>
      </c>
      <c r="I123"/>
      <c r="J123" s="18">
        <f>IF(F123=""," ",VLOOKUP(F123,'Project List 2026'!A:O,14,0))</f>
        <v>1</v>
      </c>
      <c r="K123" s="18" t="str">
        <f>IF(F123=""," ",VLOOKUP(F123,'Project List 2026'!A:T,9,0))</f>
        <v>Ongoing</v>
      </c>
      <c r="L123" s="18">
        <f>IF(F123=""," ",VLOOKUP(F123,'Project List 2026'!A:M,13,0))</f>
        <v>56108.800000000003</v>
      </c>
      <c r="S123" s="116">
        <v>0.8</v>
      </c>
      <c r="T123" s="116">
        <v>0.8</v>
      </c>
      <c r="U123" s="116">
        <v>0.8</v>
      </c>
      <c r="V123" s="116">
        <v>0.8</v>
      </c>
    </row>
    <row r="124" spans="1:24" ht="15">
      <c r="A124" s="18" t="str">
        <f>IF(F124=""," ",VLOOKUP(F124,'Project List 2026'!A:J,3,0))</f>
        <v>APAC</v>
      </c>
      <c r="B124" s="18" t="str">
        <f>IF(F124=""," ",VLOOKUP(F124,'Project List 2026'!A:N,4,0))</f>
        <v>Hosting Programs</v>
      </c>
      <c r="C124" s="16" t="str">
        <f>IF(F124=""," ",VLOOKUP(E124,RefData!AG:AH,2,FALSE))</f>
        <v>Telecoms-APAC</v>
      </c>
      <c r="D124" s="18" t="str">
        <f>IF(F124=""," ",VLOOKUP(F124,'Project List 2026'!A:J,5,0))</f>
        <v>Saranyah Vairavan</v>
      </c>
      <c r="E124" s="73" t="s">
        <v>336</v>
      </c>
      <c r="F124" s="19" t="s">
        <v>401</v>
      </c>
      <c r="G124" s="18" t="str">
        <f>IF(F124=""," ",VLOOKUP(F124,'Project List 2026'!A:J,6,0))</f>
        <v>External</v>
      </c>
      <c r="H124" s="98">
        <f>IF(F124="","",VLOOKUP(F124,'Project List 2026'!A:H,8,0))</f>
        <v>31321610</v>
      </c>
      <c r="I124"/>
      <c r="J124" s="18">
        <f>IF(F124=""," ",VLOOKUP(F124,'Project List 2026'!A:O,14,0))</f>
        <v>1</v>
      </c>
      <c r="K124" s="18" t="str">
        <f>IF(F124=""," ",VLOOKUP(F124,'Project List 2026'!A:T,9,0))</f>
        <v>Ongoing</v>
      </c>
      <c r="L124" s="18">
        <f>IF(F124=""," ",VLOOKUP(F124,'Project List 2026'!A:M,13,0))</f>
        <v>12679.68</v>
      </c>
      <c r="S124" s="116">
        <v>0.5</v>
      </c>
      <c r="T124" s="116">
        <v>0.5</v>
      </c>
      <c r="U124" s="116">
        <v>0.5</v>
      </c>
      <c r="V124" s="116">
        <v>0.5</v>
      </c>
      <c r="W124" s="116">
        <v>0.5</v>
      </c>
      <c r="X124" s="116">
        <v>0.5</v>
      </c>
    </row>
    <row r="125" spans="1:24" ht="15">
      <c r="A125" s="18" t="str">
        <f>IF(F125=""," ",VLOOKUP(F125,'Project List 2026'!A:J,3,0))</f>
        <v>APAC</v>
      </c>
      <c r="B125" s="18" t="str">
        <f>IF(F125=""," ",VLOOKUP(F125,'Project List 2026'!A:N,4,0))</f>
        <v>Hosting Programs</v>
      </c>
      <c r="C125" s="16" t="str">
        <f>IF(F125=""," ",VLOOKUP(E125,RefData!AG:AH,2,FALSE))</f>
        <v>Telecoms-APAC</v>
      </c>
      <c r="D125" s="18" t="str">
        <f>IF(F125=""," ",VLOOKUP(F125,'Project List 2026'!A:J,5,0))</f>
        <v>Saranyah Vairavan</v>
      </c>
      <c r="E125" s="73" t="s">
        <v>264</v>
      </c>
      <c r="F125" s="19" t="s">
        <v>401</v>
      </c>
      <c r="G125" s="18" t="str">
        <f>IF(F125=""," ",VLOOKUP(F125,'Project List 2026'!A:J,6,0))</f>
        <v>External</v>
      </c>
      <c r="H125" s="98">
        <f>IF(F125="","",VLOOKUP(F125,'Project List 2026'!A:H,8,0))</f>
        <v>31321610</v>
      </c>
      <c r="I125"/>
      <c r="J125" s="18">
        <f>IF(F125=""," ",VLOOKUP(F125,'Project List 2026'!A:O,14,0))</f>
        <v>1</v>
      </c>
      <c r="K125" s="18" t="str">
        <f>IF(F125=""," ",VLOOKUP(F125,'Project List 2026'!A:T,9,0))</f>
        <v>Ongoing</v>
      </c>
      <c r="L125" s="18">
        <f>IF(F125=""," ",VLOOKUP(F125,'Project List 2026'!A:M,13,0))</f>
        <v>12679.68</v>
      </c>
      <c r="P125" s="116">
        <v>0.5</v>
      </c>
      <c r="Q125" s="116">
        <v>0.5</v>
      </c>
      <c r="R125" s="116">
        <v>0.5</v>
      </c>
      <c r="S125" s="116"/>
      <c r="T125" s="116"/>
      <c r="U125" s="116"/>
      <c r="V125" s="116"/>
      <c r="W125" s="116"/>
      <c r="X125" s="116"/>
    </row>
    <row r="126" spans="1:24" ht="15">
      <c r="A126" s="18" t="e">
        <f>IF(F126=""," ",VLOOKUP(F126,'Project List 2026'!A:J,3,0))</f>
        <v>#N/A</v>
      </c>
      <c r="B126" s="18" t="e">
        <f>IF(F126=""," ",VLOOKUP(F126,'Project List 2026'!A:N,4,0))</f>
        <v>#N/A</v>
      </c>
      <c r="C126" s="16" t="str">
        <f>IF(F126=""," ",VLOOKUP(E126,RefData!AG:AH,2,FALSE))</f>
        <v>Infra Services</v>
      </c>
      <c r="D126" s="18" t="e">
        <f>IF(F126=""," ",VLOOKUP(F126,'Project List 2026'!A:J,5,0))</f>
        <v>#N/A</v>
      </c>
      <c r="E126" s="73" t="s">
        <v>217</v>
      </c>
      <c r="F126" t="s">
        <v>668</v>
      </c>
      <c r="G126" s="18" t="e">
        <f>IF(F126=""," ",VLOOKUP(F126,'Project List 2026'!A:J,6,0))</f>
        <v>#N/A</v>
      </c>
      <c r="H126" s="98" t="e">
        <f>IF(F126="","",VLOOKUP(F126,'Project List 2026'!A:H,8,0))</f>
        <v>#N/A</v>
      </c>
      <c r="I126"/>
      <c r="J126" s="18" t="e">
        <f>IF(F126=""," ",VLOOKUP(F126,'Project List 2026'!A:O,14,0))</f>
        <v>#N/A</v>
      </c>
      <c r="K126" s="18" t="e">
        <f>IF(F126=""," ",VLOOKUP(F126,'Project List 2026'!A:T,9,0))</f>
        <v>#N/A</v>
      </c>
      <c r="L126" s="18" t="e">
        <f>IF(F126=""," ",VLOOKUP(F126,'Project List 2026'!A:M,13,0))</f>
        <v>#N/A</v>
      </c>
      <c r="S126" s="82">
        <v>0.2</v>
      </c>
      <c r="T126" s="82">
        <v>0.3</v>
      </c>
      <c r="U126" s="82">
        <v>0.2</v>
      </c>
    </row>
    <row r="127" spans="1:24" ht="15">
      <c r="A127" s="18" t="e">
        <f>IF(F127=""," ",VLOOKUP(F127,'Project List 2026'!A:J,3,0))</f>
        <v>#N/A</v>
      </c>
      <c r="B127" s="18" t="e">
        <f>IF(F127=""," ",VLOOKUP(F127,'Project List 2026'!A:N,4,0))</f>
        <v>#N/A</v>
      </c>
      <c r="C127" s="16" t="str">
        <f>IF(F127=""," ",VLOOKUP(E127,RefData!AG:AH,2,FALSE))</f>
        <v>Infra Services</v>
      </c>
      <c r="D127" s="18" t="e">
        <f>IF(F127=""," ",VLOOKUP(F127,'Project List 2026'!A:J,5,0))</f>
        <v>#N/A</v>
      </c>
      <c r="E127" s="73" t="s">
        <v>217</v>
      </c>
      <c r="F127" t="s">
        <v>669</v>
      </c>
      <c r="G127" s="18" t="e">
        <f>IF(F127=""," ",VLOOKUP(F127,'Project List 2026'!A:J,6,0))</f>
        <v>#N/A</v>
      </c>
      <c r="H127" s="98" t="e">
        <f>IF(F127="","",VLOOKUP(F127,'Project List 2026'!A:H,8,0))</f>
        <v>#N/A</v>
      </c>
      <c r="I127"/>
      <c r="J127" s="18" t="e">
        <f>IF(F127=""," ",VLOOKUP(F127,'Project List 2026'!A:O,14,0))</f>
        <v>#N/A</v>
      </c>
      <c r="K127" s="18" t="e">
        <f>IF(F127=""," ",VLOOKUP(F127,'Project List 2026'!A:T,9,0))</f>
        <v>#N/A</v>
      </c>
      <c r="L127" s="18" t="e">
        <f>IF(F127=""," ",VLOOKUP(F127,'Project List 2026'!A:M,13,0))</f>
        <v>#N/A</v>
      </c>
      <c r="S127" s="82"/>
      <c r="U127" s="82">
        <v>0.3</v>
      </c>
      <c r="V127" s="82">
        <v>0.4</v>
      </c>
      <c r="W127" s="82">
        <v>0.4</v>
      </c>
    </row>
    <row r="128" spans="1:24" ht="15">
      <c r="A128" s="18" t="str">
        <f>IF(F128=""," ",VLOOKUP(F128,'Project List 2026'!A:J,3,0))</f>
        <v>Hosting</v>
      </c>
      <c r="B128" s="18" t="str">
        <f>IF(F128=""," ",VLOOKUP(F128,'Project List 2026'!A:N,4,0))</f>
        <v>Hosting Programs</v>
      </c>
      <c r="C128" s="16" t="str">
        <f>IF(F128=""," ",VLOOKUP(E128,RefData!AG:AH,2,FALSE))</f>
        <v>Telecoms</v>
      </c>
      <c r="D128" s="18" t="str">
        <f>IF(F128=""," ",VLOOKUP(F128,'Project List 2026'!A:J,5,0))</f>
        <v>Zlata Benesova</v>
      </c>
      <c r="E128" s="73" t="s">
        <v>479</v>
      </c>
      <c r="F128" s="73" t="s">
        <v>348</v>
      </c>
      <c r="G128" s="18" t="str">
        <f>IF(F128=""," ",VLOOKUP(F128,'Project List 2026'!A:J,6,0))</f>
        <v>External</v>
      </c>
      <c r="H128" s="98">
        <f>IF(F128="","",VLOOKUP(F128,'Project List 2026'!A:H,8,0))</f>
        <v>31319843</v>
      </c>
      <c r="I128"/>
      <c r="J128" s="18">
        <f>IF(F128=""," ",VLOOKUP(F128,'Project List 2026'!A:O,14,0))</f>
        <v>1</v>
      </c>
      <c r="K128" s="18" t="str">
        <f>IF(F128=""," ",VLOOKUP(F128,'Project List 2026'!A:T,9,0))</f>
        <v>Ongoing</v>
      </c>
      <c r="L128" s="18">
        <f>IF(F128=""," ",VLOOKUP(F128,'Project List 2026'!A:M,13,0))</f>
        <v>1355572</v>
      </c>
      <c r="S128" s="116">
        <v>0.2</v>
      </c>
      <c r="T128" s="116">
        <v>0.5</v>
      </c>
    </row>
    <row r="129" spans="1:24" ht="15">
      <c r="A129" s="18" t="str">
        <f>IF(F129=""," ",VLOOKUP(F129,'Project List 2026'!A:J,3,0))</f>
        <v>Telecoms</v>
      </c>
      <c r="B129" s="18" t="str">
        <f>IF(F129=""," ",VLOOKUP(F129,'Project List 2026'!A:N,4,0))</f>
        <v>SEF</v>
      </c>
      <c r="C129" s="16" t="str">
        <f>IF(F129=""," ",VLOOKUP(E129,RefData!AG:AH,2,FALSE))</f>
        <v>Telecoms</v>
      </c>
      <c r="D129" s="18" t="str">
        <f>IF(F129=""," ",VLOOKUP(F129,'Project List 2026'!A:J,5,0))</f>
        <v>Zdenek Novotny</v>
      </c>
      <c r="E129" s="73" t="s">
        <v>451</v>
      </c>
      <c r="F129" t="s">
        <v>496</v>
      </c>
      <c r="G129" s="18" t="str">
        <f>IF(F129=""," ",VLOOKUP(F129,'Project List 2026'!A:J,6,0))</f>
        <v>Internal</v>
      </c>
      <c r="H129" s="98">
        <f>IF(F129="","",VLOOKUP(F129,'Project List 2026'!A:H,8,0))</f>
        <v>0</v>
      </c>
      <c r="I129"/>
      <c r="J129" s="18">
        <f>IF(F129=""," ",VLOOKUP(F129,'Project List 2026'!A:O,14,0))</f>
        <v>0.95</v>
      </c>
      <c r="K129" s="18" t="str">
        <f>IF(F129=""," ",VLOOKUP(F129,'Project List 2026'!A:T,9,0))</f>
        <v>Initiation</v>
      </c>
      <c r="L129" s="18">
        <f>IF(F129=""," ",VLOOKUP(F129,'Project List 2026'!A:M,13,0))</f>
        <v>50000</v>
      </c>
      <c r="S129" s="140">
        <v>0.5</v>
      </c>
      <c r="T129" s="140">
        <v>0.5</v>
      </c>
      <c r="U129" s="140">
        <v>0.5</v>
      </c>
      <c r="V129" s="140">
        <v>0.5</v>
      </c>
      <c r="W129" s="140">
        <v>0.5</v>
      </c>
      <c r="X129" s="140">
        <v>0.5</v>
      </c>
    </row>
    <row r="130" spans="1:24" ht="15">
      <c r="A130" s="18" t="str">
        <f>IF(F130=""," ",VLOOKUP(F130,'Project List 2026'!A:J,3,0))</f>
        <v>Telecoms</v>
      </c>
      <c r="B130" s="18" t="str">
        <f>IF(F130=""," ",VLOOKUP(F130,'Project List 2026'!A:N,4,0))</f>
        <v>Telecoms</v>
      </c>
      <c r="C130" s="16" t="str">
        <f>IF(F130=""," ",VLOOKUP(E130,RefData!AG:AH,2,FALSE))</f>
        <v>Telecoms</v>
      </c>
      <c r="D130" s="18" t="str">
        <f>IF(F130=""," ",VLOOKUP(F130,'Project List 2026'!A:J,5,0))</f>
        <v>Zdenek Novotny</v>
      </c>
      <c r="E130" s="73" t="s">
        <v>451</v>
      </c>
      <c r="F130" t="s">
        <v>498</v>
      </c>
      <c r="G130" s="18" t="str">
        <f>IF(F130=""," ",VLOOKUP(F130,'Project List 2026'!A:J,6,0))</f>
        <v>External</v>
      </c>
      <c r="H130" s="98">
        <f>IF(F130="","",VLOOKUP(F130,'Project List 2026'!A:H,8,0))</f>
        <v>0</v>
      </c>
      <c r="I130"/>
      <c r="J130" s="18">
        <f>IF(F130=""," ",VLOOKUP(F130,'Project List 2026'!A:O,14,0))</f>
        <v>0.5</v>
      </c>
      <c r="K130" s="18" t="str">
        <f>IF(F130=""," ",VLOOKUP(F130,'Project List 2026'!A:T,9,0))</f>
        <v>Initiation</v>
      </c>
      <c r="L130" s="18">
        <f>IF(F130=""," ",VLOOKUP(F130,'Project List 2026'!A:M,13,0))</f>
        <v>75000</v>
      </c>
      <c r="S130" s="140">
        <v>0.2</v>
      </c>
      <c r="T130" s="140">
        <v>0.2</v>
      </c>
      <c r="U130" s="140">
        <v>0.2</v>
      </c>
      <c r="V130" s="140">
        <v>0.2</v>
      </c>
      <c r="W130" s="140">
        <v>0.2</v>
      </c>
      <c r="X130" s="140">
        <v>0.2</v>
      </c>
    </row>
    <row r="131" spans="1:24" ht="15">
      <c r="A131" s="18" t="str">
        <f>IF(F131=""," ",VLOOKUP(F131,'Project List 2026'!A:J,3,0))</f>
        <v>Hosting</v>
      </c>
      <c r="B131" s="18" t="str">
        <f>IF(F131=""," ",VLOOKUP(F131,'Project List 2026'!A:N,4,0))</f>
        <v>IS - Other</v>
      </c>
      <c r="C131" s="16" t="str">
        <f>IF(F131=""," ",VLOOKUP(E131,RefData!AG:AH,2,FALSE))</f>
        <v>Infra Services</v>
      </c>
      <c r="D131" s="18" t="str">
        <f>IF(F131=""," ",VLOOKUP(F131,'Project List 2026'!A:J,5,0))</f>
        <v>Hana Kodatova</v>
      </c>
      <c r="E131" t="s">
        <v>164</v>
      </c>
      <c r="F131" t="s">
        <v>493</v>
      </c>
      <c r="G131" s="18" t="str">
        <f>IF(F131=""," ",VLOOKUP(F131,'Project List 2026'!A:J,6,0))</f>
        <v>Inernal</v>
      </c>
      <c r="H131" s="98">
        <f>IF(F131="","",VLOOKUP(F131,'Project List 2026'!A:H,8,0))</f>
        <v>0</v>
      </c>
      <c r="J131" s="18">
        <f>IF(F131=""," ",VLOOKUP(F131,'Project List 2026'!A:O,14,0))</f>
        <v>0.5</v>
      </c>
      <c r="L131" s="18">
        <f>IF(F131=""," ",VLOOKUP(F131,'Project List 2026'!A:M,13,0))</f>
        <v>0</v>
      </c>
      <c r="T131" s="82">
        <v>0.2</v>
      </c>
    </row>
    <row r="132" spans="1:24" ht="15">
      <c r="A132" s="18" t="e">
        <f>IF(F132=""," ",VLOOKUP(F132,'Project List 2026'!A:J,3,0))</f>
        <v>#N/A</v>
      </c>
      <c r="B132" s="18" t="e">
        <f>IF(F132=""," ",VLOOKUP(F132,'Project List 2026'!A:N,4,0))</f>
        <v>#N/A</v>
      </c>
      <c r="C132" s="16" t="str">
        <f>IF(F132=""," ",VLOOKUP(E132,RefData!AG:AH,2,FALSE))</f>
        <v>Infra Services</v>
      </c>
      <c r="D132" s="18" t="e">
        <f>IF(F132=""," ",VLOOKUP(F132,'Project List 2026'!A:J,5,0))</f>
        <v>#N/A</v>
      </c>
      <c r="E132" s="73" t="s">
        <v>217</v>
      </c>
      <c r="F132" t="s">
        <v>670</v>
      </c>
      <c r="G132" s="18" t="e">
        <f>IF(F132=""," ",VLOOKUP(F132,'Project List 2026'!A:J,6,0))</f>
        <v>#N/A</v>
      </c>
      <c r="H132" s="98" t="e">
        <f>IF(F132="","",VLOOKUP(F132,'Project List 2026'!A:H,8,0))</f>
        <v>#N/A</v>
      </c>
      <c r="I132"/>
      <c r="J132" s="18" t="e">
        <f>IF(F132=""," ",VLOOKUP(F132,'Project List 2026'!A:O,14,0))</f>
        <v>#N/A</v>
      </c>
      <c r="K132" s="18" t="e">
        <f>IF(F132=""," ",VLOOKUP(F132,'Project List 2026'!A:T,9,0))</f>
        <v>#N/A</v>
      </c>
      <c r="L132" s="18" t="e">
        <f>IF(F132=""," ",VLOOKUP(F132,'Project List 2026'!A:M,13,0))</f>
        <v>#N/A</v>
      </c>
      <c r="S132" s="82">
        <v>0.1</v>
      </c>
      <c r="T132" s="82">
        <v>0.25</v>
      </c>
      <c r="U132" s="82"/>
    </row>
    <row r="133" spans="1:24" ht="15">
      <c r="A133" s="18" t="str">
        <f>IF(F133=""," ",VLOOKUP(F133,'Project List 2026'!A:J,3,0))</f>
        <v>Hosting</v>
      </c>
      <c r="B133" s="18" t="str">
        <f>IF(F133=""," ",VLOOKUP(F133,'Project List 2026'!A:N,4,0))</f>
        <v>Hosting Programs</v>
      </c>
      <c r="C133" s="16" t="str">
        <f>IF(F133=""," ",VLOOKUP(E133,RefData!AG:AH,2,FALSE))</f>
        <v>Infra Services</v>
      </c>
      <c r="D133" s="18" t="str">
        <f>IF(F133=""," ",VLOOKUP(F133,'Project List 2026'!A:J,5,0))</f>
        <v>Neeraja Duddu</v>
      </c>
      <c r="E133" s="73" t="s">
        <v>217</v>
      </c>
      <c r="F133" s="44" t="s">
        <v>301</v>
      </c>
      <c r="G133" s="18" t="str">
        <f>IF(F133=""," ",VLOOKUP(F133,'Project List 2026'!A:J,6,0))</f>
        <v>Internal</v>
      </c>
      <c r="H133" s="98" t="str">
        <f>IF(F133="","",VLOOKUP(F133,'Project List 2026'!A:H,8,0))</f>
        <v>n/a</v>
      </c>
      <c r="J133" s="18">
        <f>IF(F133=""," ",VLOOKUP(F133,'Project List 2026'!A:O,14,0))</f>
        <v>1</v>
      </c>
      <c r="K133" s="18" t="str">
        <f>IF(F133=""," ",VLOOKUP(F133,'Project List 2026'!A:T,9,0))</f>
        <v>Ongoing</v>
      </c>
      <c r="L133" s="18">
        <f>IF(F133=""," ",VLOOKUP(F133,'Project List 2026'!A:M,13,0))</f>
        <v>0</v>
      </c>
      <c r="S133" s="82">
        <v>0.25</v>
      </c>
    </row>
    <row r="134" spans="1:24" ht="15">
      <c r="A134" s="18" t="str">
        <f>IF(F134=""," ",VLOOKUP(F134,'Project List 2026'!A:J,3,0))</f>
        <v>Hosting</v>
      </c>
      <c r="B134" s="18" t="str">
        <f>IF(F134=""," ",VLOOKUP(F134,'Project List 2026'!A:N,4,0))</f>
        <v>Hosting Programs</v>
      </c>
      <c r="C134" s="16" t="str">
        <f>IF(F134=""," ",VLOOKUP(E134,RefData!AG:AH,2,FALSE))</f>
        <v>Infra Services</v>
      </c>
      <c r="D134" s="18" t="str">
        <f>IF(F134=""," ",VLOOKUP(F134,'Project List 2026'!A:J,5,0))</f>
        <v>Neeraja Duddu</v>
      </c>
      <c r="E134" t="s">
        <v>172</v>
      </c>
      <c r="F134" s="44" t="s">
        <v>301</v>
      </c>
      <c r="G134" s="18" t="str">
        <f>IF(F134=""," ",VLOOKUP(F134,'Project List 2026'!A:J,6,0))</f>
        <v>Internal</v>
      </c>
      <c r="H134" s="98" t="str">
        <f>IF(F134="","",VLOOKUP(F134,'Project List 2026'!A:H,8,0))</f>
        <v>n/a</v>
      </c>
      <c r="J134" s="18">
        <f>IF(F134=""," ",VLOOKUP(F134,'Project List 2026'!A:O,14,0))</f>
        <v>1</v>
      </c>
      <c r="K134" s="18" t="str">
        <f>IF(F134=""," ",VLOOKUP(F134,'Project List 2026'!A:T,9,0))</f>
        <v>Ongoing</v>
      </c>
      <c r="L134" s="18">
        <f>IF(F134=""," ",VLOOKUP(F134,'Project List 2026'!A:M,13,0))</f>
        <v>0</v>
      </c>
      <c r="S134" s="82">
        <v>0.5</v>
      </c>
    </row>
    <row r="135" spans="1:24" ht="15">
      <c r="A135" s="18" t="str">
        <f>IF(F135=""," ",VLOOKUP(F135,'Project List 2026'!A:J,3,0))</f>
        <v>Hosting</v>
      </c>
      <c r="B135" s="18" t="str">
        <f>IF(F135=""," ",VLOOKUP(F135,'Project List 2026'!A:N,4,0))</f>
        <v>Hosting Programs</v>
      </c>
      <c r="C135" s="16" t="str">
        <f>IF(F135=""," ",VLOOKUP(E135,RefData!AG:AH,2,FALSE))</f>
        <v>Infra Services</v>
      </c>
      <c r="D135" s="18" t="str">
        <f>IF(F135=""," ",VLOOKUP(F135,'Project List 2026'!A:J,5,0))</f>
        <v>Neeraja Duddu</v>
      </c>
      <c r="E135" s="73" t="s">
        <v>658</v>
      </c>
      <c r="F135" s="44" t="s">
        <v>301</v>
      </c>
      <c r="G135" s="18" t="str">
        <f>IF(F135=""," ",VLOOKUP(F135,'Project List 2026'!A:J,6,0))</f>
        <v>Internal</v>
      </c>
      <c r="H135" s="98" t="str">
        <f>IF(F135="","",VLOOKUP(F135,'Project List 2026'!A:H,8,0))</f>
        <v>n/a</v>
      </c>
      <c r="J135" s="18">
        <f>IF(F135=""," ",VLOOKUP(F135,'Project List 2026'!A:O,14,0))</f>
        <v>1</v>
      </c>
      <c r="K135" s="18" t="str">
        <f>IF(F135=""," ",VLOOKUP(F135,'Project List 2026'!A:T,9,0))</f>
        <v>Ongoing</v>
      </c>
      <c r="L135" s="18">
        <f>IF(F135=""," ",VLOOKUP(F135,'Project List 2026'!A:M,13,0))</f>
        <v>0</v>
      </c>
      <c r="S135" s="82"/>
      <c r="T135" s="82">
        <v>0.5</v>
      </c>
    </row>
    <row r="136" spans="1:24" ht="15">
      <c r="A136" s="18" t="str">
        <f>IF(F136=""," ",VLOOKUP(F136,'Project List 2026'!A:J,3,0))</f>
        <v>Hosting</v>
      </c>
      <c r="B136" s="18" t="str">
        <f>IF(F136=""," ",VLOOKUP(F136,'Project List 2026'!A:N,4,0))</f>
        <v>Hosting Programs</v>
      </c>
      <c r="C136" s="16" t="str">
        <f>IF(F136=""," ",VLOOKUP(E136,RefData!AG:AH,2,FALSE))</f>
        <v>Infra Services</v>
      </c>
      <c r="D136" s="18" t="str">
        <f>IF(F136=""," ",VLOOKUP(F136,'Project List 2026'!A:J,5,0))</f>
        <v>Neeraja Duddu</v>
      </c>
      <c r="E136" t="s">
        <v>223</v>
      </c>
      <c r="F136" s="44" t="s">
        <v>301</v>
      </c>
      <c r="G136" s="18" t="str">
        <f>IF(F136=""," ",VLOOKUP(F136,'Project List 2026'!A:J,6,0))</f>
        <v>Internal</v>
      </c>
      <c r="H136" s="98" t="str">
        <f>IF(F136="","",VLOOKUP(F136,'Project List 2026'!A:H,8,0))</f>
        <v>n/a</v>
      </c>
      <c r="J136" s="18">
        <f>IF(F136=""," ",VLOOKUP(F136,'Project List 2026'!A:O,14,0))</f>
        <v>1</v>
      </c>
      <c r="K136" s="18" t="str">
        <f>IF(F136=""," ",VLOOKUP(F136,'Project List 2026'!A:T,9,0))</f>
        <v>Ongoing</v>
      </c>
      <c r="L136" s="101">
        <v>1</v>
      </c>
      <c r="T136" s="116">
        <v>0.2</v>
      </c>
    </row>
  </sheetData>
  <autoFilter ref="A2:Y127" xr:uid="{3BEE9A9F-A03F-40E0-A419-6568D71CDA95}"/>
  <mergeCells count="2">
    <mergeCell ref="M1:R1"/>
    <mergeCell ref="S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0F18-DD61-476C-B94C-A37F982239F1}">
  <sheetPr>
    <tabColor theme="0" tint="-0.14999847407452621"/>
  </sheetPr>
  <dimension ref="A1:M20"/>
  <sheetViews>
    <sheetView zoomScaleNormal="100" workbookViewId="0">
      <selection activeCell="I13" sqref="I13"/>
    </sheetView>
  </sheetViews>
  <sheetFormatPr baseColWidth="10" defaultColWidth="8.83203125" defaultRowHeight="15"/>
  <cols>
    <col min="1" max="1" width="19.5" bestFit="1" customWidth="1"/>
    <col min="2" max="2" width="15.83203125" bestFit="1" customWidth="1"/>
    <col min="3" max="13" width="8.5" bestFit="1" customWidth="1"/>
    <col min="14" max="14" width="3.83203125" bestFit="1" customWidth="1"/>
    <col min="15" max="15" width="1.83203125" bestFit="1" customWidth="1"/>
    <col min="16" max="16" width="6.83203125" bestFit="1" customWidth="1"/>
    <col min="17" max="17" width="10.5" bestFit="1" customWidth="1"/>
  </cols>
  <sheetData>
    <row r="1" spans="1:13">
      <c r="A1" s="20" t="s">
        <v>8</v>
      </c>
      <c r="B1" s="21" t="s">
        <v>671</v>
      </c>
    </row>
    <row r="2" spans="1:13">
      <c r="A2" s="20" t="s">
        <v>511</v>
      </c>
      <c r="B2" s="21" t="s">
        <v>671</v>
      </c>
    </row>
    <row r="3" spans="1:13">
      <c r="A3" s="20" t="s">
        <v>640</v>
      </c>
      <c r="B3" s="21" t="s">
        <v>671</v>
      </c>
    </row>
    <row r="4" spans="1:13">
      <c r="A4" s="20" t="s">
        <v>634</v>
      </c>
      <c r="B4" s="21" t="s">
        <v>655</v>
      </c>
    </row>
    <row r="5" spans="1:13">
      <c r="A5" s="20" t="s">
        <v>632</v>
      </c>
      <c r="B5" s="21" t="s">
        <v>671</v>
      </c>
    </row>
    <row r="7" spans="1:13">
      <c r="A7" s="20" t="s">
        <v>672</v>
      </c>
      <c r="B7" s="22" t="s">
        <v>673</v>
      </c>
      <c r="C7" s="22" t="s">
        <v>674</v>
      </c>
      <c r="D7" s="22" t="s">
        <v>675</v>
      </c>
      <c r="E7" s="22" t="s">
        <v>676</v>
      </c>
      <c r="F7" s="22" t="s">
        <v>677</v>
      </c>
      <c r="G7" s="22" t="s">
        <v>678</v>
      </c>
      <c r="H7" s="21" t="s">
        <v>679</v>
      </c>
      <c r="I7" s="22" t="s">
        <v>680</v>
      </c>
      <c r="J7" s="22" t="s">
        <v>681</v>
      </c>
      <c r="K7" s="22" t="s">
        <v>682</v>
      </c>
      <c r="L7" s="22" t="s">
        <v>683</v>
      </c>
      <c r="M7" s="22" t="s">
        <v>684</v>
      </c>
    </row>
    <row r="8" spans="1:13">
      <c r="A8" s="23" t="s">
        <v>164</v>
      </c>
      <c r="B8" s="24">
        <v>1</v>
      </c>
      <c r="C8" s="24">
        <v>1.1000000000000001</v>
      </c>
      <c r="D8" s="24">
        <v>1.2</v>
      </c>
      <c r="E8" s="24">
        <v>1.05</v>
      </c>
      <c r="F8" s="24">
        <v>1</v>
      </c>
      <c r="G8" s="24">
        <v>0.95000000000000007</v>
      </c>
      <c r="H8" s="24">
        <v>0.85000000000000009</v>
      </c>
      <c r="I8" s="24">
        <v>1.3</v>
      </c>
      <c r="J8" s="24">
        <v>0.85000000000000009</v>
      </c>
      <c r="K8" s="24">
        <v>0.7</v>
      </c>
      <c r="L8" s="24">
        <v>0.7</v>
      </c>
      <c r="M8" s="24">
        <v>0.5</v>
      </c>
    </row>
    <row r="9" spans="1:13">
      <c r="A9" s="23" t="s">
        <v>172</v>
      </c>
      <c r="B9" s="24">
        <v>1.2</v>
      </c>
      <c r="C9" s="24">
        <v>1.1499999999999999</v>
      </c>
      <c r="D9" s="24">
        <v>1.1499999999999999</v>
      </c>
      <c r="E9" s="24">
        <v>1.1000000000000001</v>
      </c>
      <c r="F9" s="24">
        <v>1.1000000000000001</v>
      </c>
      <c r="G9" s="24">
        <v>1.1000000000000001</v>
      </c>
      <c r="H9" s="24">
        <v>0.95</v>
      </c>
      <c r="I9" s="24">
        <v>1.05</v>
      </c>
      <c r="J9" s="24">
        <v>1.05</v>
      </c>
      <c r="K9" s="24">
        <v>1.05</v>
      </c>
      <c r="L9" s="24">
        <v>1.05</v>
      </c>
      <c r="M9" s="24">
        <v>0.75</v>
      </c>
    </row>
    <row r="10" spans="1:13">
      <c r="A10" s="23" t="s">
        <v>444</v>
      </c>
      <c r="B10" s="24">
        <v>1</v>
      </c>
      <c r="C10" s="24">
        <v>1</v>
      </c>
      <c r="D10" s="24">
        <v>1</v>
      </c>
      <c r="E10" s="24">
        <v>1</v>
      </c>
      <c r="F10" s="24">
        <v>1.2</v>
      </c>
      <c r="G10" s="24">
        <v>1.2</v>
      </c>
      <c r="H10" s="24">
        <v>1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</row>
    <row r="11" spans="1:13">
      <c r="A11" s="23" t="s">
        <v>196</v>
      </c>
      <c r="B11" s="24">
        <v>1</v>
      </c>
      <c r="C11" s="24">
        <v>1.3</v>
      </c>
      <c r="D11" s="24">
        <v>1.3</v>
      </c>
      <c r="E11" s="24">
        <v>1.1000000000000001</v>
      </c>
      <c r="F11" s="24">
        <v>0.95000000000000007</v>
      </c>
      <c r="G11" s="24">
        <v>0.95000000000000007</v>
      </c>
      <c r="H11" s="24">
        <v>0.9</v>
      </c>
      <c r="I11" s="24">
        <v>0.9</v>
      </c>
      <c r="J11" s="24">
        <v>0.9</v>
      </c>
      <c r="K11" s="24">
        <v>0.9</v>
      </c>
      <c r="L11" s="24">
        <v>0.9</v>
      </c>
      <c r="M11" s="24">
        <v>0.9</v>
      </c>
    </row>
    <row r="12" spans="1:13">
      <c r="A12" s="23" t="s">
        <v>217</v>
      </c>
      <c r="B12" s="24">
        <v>1</v>
      </c>
      <c r="C12" s="24">
        <v>1</v>
      </c>
      <c r="D12" s="24">
        <v>1</v>
      </c>
      <c r="E12" s="24">
        <v>1</v>
      </c>
      <c r="F12" s="24">
        <v>1</v>
      </c>
      <c r="G12" s="24">
        <v>1</v>
      </c>
      <c r="H12" s="24">
        <v>0.95000000000000007</v>
      </c>
      <c r="I12" s="24">
        <v>1.05</v>
      </c>
      <c r="J12" s="24">
        <v>1</v>
      </c>
      <c r="K12" s="24">
        <v>0.9</v>
      </c>
      <c r="L12" s="24">
        <v>0.9</v>
      </c>
      <c r="M12" s="24">
        <v>0.5</v>
      </c>
    </row>
    <row r="13" spans="1:13">
      <c r="A13" s="23" t="s">
        <v>223</v>
      </c>
      <c r="B13" s="24">
        <v>0.89999999999999991</v>
      </c>
      <c r="C13" s="24">
        <v>0.89999999999999991</v>
      </c>
      <c r="D13" s="24">
        <v>0.89999999999999991</v>
      </c>
      <c r="E13" s="24">
        <v>0.9</v>
      </c>
      <c r="F13" s="24">
        <v>0.9</v>
      </c>
      <c r="G13" s="24">
        <v>0.9</v>
      </c>
      <c r="H13" s="24">
        <v>1</v>
      </c>
      <c r="I13" s="24">
        <v>1</v>
      </c>
      <c r="J13" s="24">
        <v>1</v>
      </c>
      <c r="K13" s="24">
        <v>1</v>
      </c>
      <c r="L13" s="24">
        <v>0.89999999999999991</v>
      </c>
      <c r="M13" s="24">
        <v>0.89999999999999991</v>
      </c>
    </row>
    <row r="14" spans="1:13">
      <c r="A14" s="23" t="s">
        <v>657</v>
      </c>
      <c r="B14" s="24">
        <v>1</v>
      </c>
      <c r="C14" s="24">
        <v>1</v>
      </c>
      <c r="D14" s="24">
        <v>1</v>
      </c>
      <c r="E14" s="24">
        <v>1</v>
      </c>
      <c r="F14" s="24">
        <v>1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v>1</v>
      </c>
      <c r="M14" s="24">
        <v>1</v>
      </c>
    </row>
    <row r="15" spans="1:13">
      <c r="A15" s="23" t="s">
        <v>258</v>
      </c>
      <c r="B15" s="24">
        <v>0.9</v>
      </c>
      <c r="C15" s="24">
        <v>0.9</v>
      </c>
      <c r="D15" s="24">
        <v>1.4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0.5</v>
      </c>
    </row>
    <row r="16" spans="1:13">
      <c r="A16" s="23" t="s">
        <v>658</v>
      </c>
      <c r="B16" s="24">
        <v>1.05</v>
      </c>
      <c r="C16" s="24">
        <v>1.05</v>
      </c>
      <c r="D16" s="24">
        <v>1.05</v>
      </c>
      <c r="E16" s="24">
        <v>1.05</v>
      </c>
      <c r="F16" s="24">
        <v>1.05</v>
      </c>
      <c r="G16" s="24">
        <v>1.05</v>
      </c>
      <c r="H16" s="24">
        <v>1.05</v>
      </c>
      <c r="I16" s="24">
        <v>1.05</v>
      </c>
      <c r="J16" s="24">
        <v>1.05</v>
      </c>
      <c r="K16" s="24">
        <v>1.05</v>
      </c>
      <c r="L16" s="24">
        <v>0.65</v>
      </c>
      <c r="M16" s="24">
        <v>0.5</v>
      </c>
    </row>
    <row r="17" spans="1:13">
      <c r="A17" s="23" t="s">
        <v>299</v>
      </c>
      <c r="B17" s="24">
        <v>0.9</v>
      </c>
      <c r="C17" s="24">
        <v>0.9</v>
      </c>
      <c r="D17" s="24">
        <v>0.9</v>
      </c>
      <c r="E17" s="24">
        <v>0.9</v>
      </c>
      <c r="F17" s="24">
        <v>0.9</v>
      </c>
      <c r="G17" s="24">
        <v>0.9</v>
      </c>
      <c r="H17" s="24">
        <v>0.89999999999999991</v>
      </c>
      <c r="I17" s="24">
        <v>1</v>
      </c>
      <c r="J17" s="24">
        <v>0.65</v>
      </c>
      <c r="K17" s="24">
        <v>0.5</v>
      </c>
      <c r="L17" s="24">
        <v>0.5</v>
      </c>
      <c r="M17" s="24">
        <v>0.5</v>
      </c>
    </row>
    <row r="18" spans="1:13">
      <c r="A18" s="23" t="s">
        <v>367</v>
      </c>
      <c r="B18" s="24">
        <v>0.95</v>
      </c>
      <c r="C18" s="24">
        <v>0.85</v>
      </c>
      <c r="D18" s="24">
        <v>1.05</v>
      </c>
      <c r="E18" s="24">
        <v>0.95</v>
      </c>
      <c r="F18" s="24">
        <v>1</v>
      </c>
      <c r="G18" s="24">
        <v>1.05</v>
      </c>
      <c r="H18" s="24">
        <v>0.9</v>
      </c>
      <c r="I18" s="24">
        <v>1</v>
      </c>
      <c r="J18" s="24">
        <v>0.9</v>
      </c>
      <c r="K18" s="24">
        <v>0.8</v>
      </c>
      <c r="L18" s="24">
        <v>0.8</v>
      </c>
      <c r="M18" s="24">
        <v>0.8</v>
      </c>
    </row>
    <row r="19" spans="1:13">
      <c r="A19" s="23" t="s">
        <v>350</v>
      </c>
      <c r="B19" s="24">
        <v>0.95000000000000007</v>
      </c>
      <c r="C19" s="24">
        <v>1.05</v>
      </c>
      <c r="D19" s="24">
        <v>0.95</v>
      </c>
      <c r="E19" s="24">
        <v>1</v>
      </c>
      <c r="F19" s="24">
        <v>1</v>
      </c>
      <c r="G19" s="24">
        <v>0.89999999999999991</v>
      </c>
      <c r="H19" s="24">
        <v>0.89999999999999991</v>
      </c>
      <c r="I19" s="24">
        <v>0.89999999999999991</v>
      </c>
      <c r="J19" s="24">
        <v>0.89999999999999991</v>
      </c>
      <c r="K19" s="24">
        <v>0.89999999999999991</v>
      </c>
      <c r="L19" s="24">
        <v>0.89999999999999991</v>
      </c>
      <c r="M19" s="24"/>
    </row>
    <row r="20" spans="1:13">
      <c r="A20" s="23" t="s">
        <v>661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</sheetData>
  <conditionalFormatting pivot="1" sqref="B8:M19">
    <cfRule type="cellIs" dxfId="189" priority="10" operator="greaterThan">
      <formula>0.8</formula>
    </cfRule>
  </conditionalFormatting>
  <conditionalFormatting pivot="1" sqref="B8:M19">
    <cfRule type="cellIs" dxfId="188" priority="9" operator="between">
      <formula>0.5</formula>
      <formula>0.8</formula>
    </cfRule>
  </conditionalFormatting>
  <conditionalFormatting pivot="1" sqref="B8:M19">
    <cfRule type="cellIs" dxfId="187" priority="8" operator="lessThan">
      <formula>0.5</formula>
    </cfRule>
  </conditionalFormatting>
  <conditionalFormatting pivot="1" sqref="B8:M19">
    <cfRule type="cellIs" dxfId="186" priority="7" operator="equal">
      <formula>0</formula>
    </cfRule>
  </conditionalFormatting>
  <conditionalFormatting pivot="1" sqref="B8:M19">
    <cfRule type="cellIs" dxfId="185" priority="6" operator="greaterThan">
      <formula>75</formula>
    </cfRule>
  </conditionalFormatting>
  <conditionalFormatting pivot="1" sqref="B8:M19">
    <cfRule type="cellIs" dxfId="184" priority="5" operator="greaterThan">
      <formula>0.75</formula>
    </cfRule>
  </conditionalFormatting>
  <conditionalFormatting pivot="1" sqref="B8:M19">
    <cfRule type="cellIs" dxfId="183" priority="4" operator="between">
      <formula>0.45</formula>
      <formula>0.8</formula>
    </cfRule>
  </conditionalFormatting>
  <conditionalFormatting pivot="1" sqref="B8:M19">
    <cfRule type="cellIs" dxfId="182" priority="3" operator="lessThan">
      <formula>0.45</formula>
    </cfRule>
  </conditionalFormatting>
  <conditionalFormatting pivot="1" sqref="B8:M19">
    <cfRule type="cellIs" dxfId="181" priority="2" operator="equal">
      <formula>0</formula>
    </cfRule>
  </conditionalFormatting>
  <conditionalFormatting pivot="1" sqref="B8:M19">
    <cfRule type="cellIs" dxfId="180" priority="1" operator="between">
      <formula>0.45</formula>
      <formula>0.75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4901E-41D3-4DFF-A0DA-9281F29711A8}">
  <dimension ref="A1:X32"/>
  <sheetViews>
    <sheetView workbookViewId="0">
      <selection activeCell="L28" sqref="L28"/>
    </sheetView>
  </sheetViews>
  <sheetFormatPr baseColWidth="10" defaultColWidth="8.83203125" defaultRowHeight="15"/>
  <cols>
    <col min="1" max="1" width="37.5" bestFit="1" customWidth="1"/>
    <col min="3" max="3" width="20" customWidth="1"/>
    <col min="4" max="4" width="18.5" bestFit="1" customWidth="1"/>
    <col min="5" max="5" width="12.83203125" bestFit="1" customWidth="1"/>
    <col min="6" max="6" width="10.6640625" bestFit="1" customWidth="1"/>
    <col min="7" max="7" width="17.1640625" bestFit="1" customWidth="1"/>
    <col min="8" max="8" width="33.5" bestFit="1" customWidth="1"/>
    <col min="9" max="9" width="14.1640625" bestFit="1" customWidth="1"/>
    <col min="10" max="10" width="16.33203125" bestFit="1" customWidth="1"/>
    <col min="11" max="11" width="12" bestFit="1" customWidth="1"/>
    <col min="12" max="12" width="17.5" bestFit="1" customWidth="1"/>
    <col min="13" max="13" width="35" bestFit="1" customWidth="1"/>
    <col min="14" max="14" width="17.33203125" bestFit="1" customWidth="1"/>
    <col min="15" max="15" width="33.83203125" bestFit="1" customWidth="1"/>
    <col min="16" max="16" width="25.5" bestFit="1" customWidth="1"/>
    <col min="17" max="17" width="18.5" bestFit="1" customWidth="1"/>
    <col min="19" max="19" width="13.1640625" bestFit="1" customWidth="1"/>
    <col min="20" max="20" width="16.5" bestFit="1" customWidth="1"/>
    <col min="21" max="22" width="17" bestFit="1" customWidth="1"/>
    <col min="23" max="23" width="16.6640625" bestFit="1" customWidth="1"/>
    <col min="24" max="24" width="17.33203125" bestFit="1" customWidth="1"/>
  </cols>
  <sheetData>
    <row r="1" spans="1:24">
      <c r="A1" s="120" t="s">
        <v>685</v>
      </c>
    </row>
    <row r="3" spans="1:24">
      <c r="A3" t="s">
        <v>1</v>
      </c>
      <c r="B3" t="s">
        <v>509</v>
      </c>
      <c r="C3" t="s">
        <v>686</v>
      </c>
      <c r="D3" t="s">
        <v>510</v>
      </c>
      <c r="E3" t="s">
        <v>511</v>
      </c>
      <c r="F3" t="s">
        <v>512</v>
      </c>
      <c r="G3" t="s">
        <v>516</v>
      </c>
      <c r="H3" t="s">
        <v>513</v>
      </c>
      <c r="I3" t="s">
        <v>514</v>
      </c>
      <c r="J3" t="s">
        <v>515</v>
      </c>
      <c r="K3" t="s">
        <v>517</v>
      </c>
      <c r="L3" t="s">
        <v>518</v>
      </c>
      <c r="M3" t="s">
        <v>519</v>
      </c>
      <c r="N3" t="s">
        <v>520</v>
      </c>
      <c r="O3" t="s">
        <v>521</v>
      </c>
      <c r="P3" t="s">
        <v>687</v>
      </c>
      <c r="Q3" t="s">
        <v>523</v>
      </c>
      <c r="R3" t="s">
        <v>78</v>
      </c>
      <c r="S3" t="s">
        <v>524</v>
      </c>
      <c r="T3" t="s">
        <v>525</v>
      </c>
      <c r="U3" t="s">
        <v>526</v>
      </c>
      <c r="V3" t="s">
        <v>527</v>
      </c>
      <c r="W3" t="s">
        <v>528</v>
      </c>
      <c r="X3" t="s">
        <v>529</v>
      </c>
    </row>
    <row r="4" spans="1:24">
      <c r="A4" t="s">
        <v>355</v>
      </c>
      <c r="B4" t="s">
        <v>688</v>
      </c>
      <c r="D4" t="s">
        <v>345</v>
      </c>
      <c r="E4" t="s">
        <v>55</v>
      </c>
      <c r="F4" t="s">
        <v>23</v>
      </c>
      <c r="G4" t="s">
        <v>532</v>
      </c>
      <c r="I4" t="s">
        <v>532</v>
      </c>
      <c r="J4" t="s">
        <v>532</v>
      </c>
      <c r="K4" t="s">
        <v>532</v>
      </c>
      <c r="L4" t="s">
        <v>532</v>
      </c>
      <c r="N4" t="s">
        <v>532</v>
      </c>
    </row>
    <row r="5" spans="1:24">
      <c r="A5" t="s">
        <v>358</v>
      </c>
      <c r="B5" t="s">
        <v>688</v>
      </c>
      <c r="D5" t="s">
        <v>345</v>
      </c>
      <c r="E5" t="s">
        <v>55</v>
      </c>
      <c r="F5" t="s">
        <v>306</v>
      </c>
      <c r="G5" t="s">
        <v>532</v>
      </c>
      <c r="I5" t="s">
        <v>532</v>
      </c>
      <c r="J5" t="s">
        <v>533</v>
      </c>
      <c r="K5" t="s">
        <v>532</v>
      </c>
      <c r="L5" t="s">
        <v>532</v>
      </c>
      <c r="N5" t="s">
        <v>532</v>
      </c>
    </row>
    <row r="6" spans="1:24">
      <c r="A6" t="s">
        <v>349</v>
      </c>
      <c r="B6" t="s">
        <v>688</v>
      </c>
      <c r="D6" t="s">
        <v>350</v>
      </c>
      <c r="E6" t="s">
        <v>55</v>
      </c>
      <c r="F6" t="s">
        <v>23</v>
      </c>
      <c r="G6" t="s">
        <v>545</v>
      </c>
      <c r="I6" t="s">
        <v>533</v>
      </c>
      <c r="J6" t="s">
        <v>533</v>
      </c>
      <c r="K6" t="s">
        <v>626</v>
      </c>
      <c r="P6" t="s">
        <v>538</v>
      </c>
      <c r="Q6" t="s">
        <v>627</v>
      </c>
      <c r="T6" t="s">
        <v>538</v>
      </c>
      <c r="W6" t="s">
        <v>538</v>
      </c>
    </row>
    <row r="7" spans="1:24">
      <c r="A7" t="s">
        <v>344</v>
      </c>
      <c r="B7" t="s">
        <v>688</v>
      </c>
      <c r="D7" t="s">
        <v>345</v>
      </c>
      <c r="E7" t="s">
        <v>55</v>
      </c>
      <c r="F7" t="s">
        <v>306</v>
      </c>
      <c r="G7" t="s">
        <v>532</v>
      </c>
      <c r="I7" t="s">
        <v>532</v>
      </c>
      <c r="J7" t="s">
        <v>532</v>
      </c>
      <c r="K7" t="s">
        <v>532</v>
      </c>
      <c r="L7" t="s">
        <v>532</v>
      </c>
      <c r="N7" t="s">
        <v>532</v>
      </c>
    </row>
    <row r="8" spans="1:24">
      <c r="A8" t="s">
        <v>229</v>
      </c>
      <c r="B8" t="s">
        <v>688</v>
      </c>
      <c r="C8" t="s">
        <v>689</v>
      </c>
      <c r="D8" t="s">
        <v>230</v>
      </c>
      <c r="E8" t="s">
        <v>55</v>
      </c>
      <c r="F8" t="s">
        <v>23</v>
      </c>
      <c r="P8" t="s">
        <v>538</v>
      </c>
      <c r="Q8" t="s">
        <v>544</v>
      </c>
    </row>
    <row r="9" spans="1:24">
      <c r="A9" t="s">
        <v>259</v>
      </c>
      <c r="B9" t="s">
        <v>688</v>
      </c>
      <c r="C9" t="s">
        <v>690</v>
      </c>
      <c r="D9" t="s">
        <v>258</v>
      </c>
      <c r="E9" t="s">
        <v>55</v>
      </c>
      <c r="F9" t="s">
        <v>31</v>
      </c>
      <c r="G9" t="s">
        <v>532</v>
      </c>
      <c r="I9" t="s">
        <v>532</v>
      </c>
      <c r="L9" t="s">
        <v>532</v>
      </c>
      <c r="N9" t="s">
        <v>532</v>
      </c>
      <c r="P9" t="s">
        <v>538</v>
      </c>
    </row>
    <row r="10" spans="1:24">
      <c r="A10" t="s">
        <v>245</v>
      </c>
      <c r="B10" t="s">
        <v>688</v>
      </c>
      <c r="C10" t="s">
        <v>691</v>
      </c>
      <c r="D10" t="s">
        <v>246</v>
      </c>
      <c r="E10" t="s">
        <v>55</v>
      </c>
      <c r="F10" t="s">
        <v>23</v>
      </c>
      <c r="G10" t="s">
        <v>584</v>
      </c>
      <c r="H10" s="49">
        <v>46104</v>
      </c>
      <c r="I10" t="s">
        <v>532</v>
      </c>
      <c r="J10" t="s">
        <v>533</v>
      </c>
      <c r="K10" t="s">
        <v>532</v>
      </c>
      <c r="L10" t="s">
        <v>532</v>
      </c>
    </row>
    <row r="11" spans="1:24">
      <c r="A11" t="s">
        <v>239</v>
      </c>
      <c r="B11" t="s">
        <v>688</v>
      </c>
      <c r="C11" t="s">
        <v>691</v>
      </c>
      <c r="D11" t="s">
        <v>223</v>
      </c>
      <c r="E11" t="s">
        <v>55</v>
      </c>
      <c r="F11" t="s">
        <v>31</v>
      </c>
      <c r="G11" t="s">
        <v>533</v>
      </c>
      <c r="I11" t="s">
        <v>533</v>
      </c>
      <c r="J11" t="s">
        <v>533</v>
      </c>
      <c r="K11" t="s">
        <v>587</v>
      </c>
      <c r="L11" t="s">
        <v>23</v>
      </c>
      <c r="P11" t="s">
        <v>538</v>
      </c>
      <c r="Q11" t="s">
        <v>588</v>
      </c>
    </row>
    <row r="12" spans="1:24">
      <c r="A12" t="s">
        <v>225</v>
      </c>
      <c r="B12" t="s">
        <v>688</v>
      </c>
      <c r="C12" t="s">
        <v>689</v>
      </c>
      <c r="D12" t="s">
        <v>223</v>
      </c>
      <c r="E12" t="s">
        <v>55</v>
      </c>
      <c r="F12" t="s">
        <v>23</v>
      </c>
      <c r="G12" t="s">
        <v>533</v>
      </c>
      <c r="H12" s="49">
        <v>46073</v>
      </c>
      <c r="I12" t="s">
        <v>533</v>
      </c>
      <c r="J12" t="s">
        <v>533</v>
      </c>
      <c r="K12" t="s">
        <v>585</v>
      </c>
      <c r="L12" t="s">
        <v>23</v>
      </c>
      <c r="P12" t="s">
        <v>538</v>
      </c>
      <c r="Q12" t="s">
        <v>586</v>
      </c>
      <c r="T12" t="s">
        <v>538</v>
      </c>
      <c r="V12" t="s">
        <v>538</v>
      </c>
      <c r="X12" t="s">
        <v>538</v>
      </c>
    </row>
    <row r="13" spans="1:24">
      <c r="A13" t="s">
        <v>181</v>
      </c>
      <c r="B13" t="s">
        <v>688</v>
      </c>
      <c r="D13" t="s">
        <v>182</v>
      </c>
      <c r="E13" t="s">
        <v>55</v>
      </c>
      <c r="F13" t="s">
        <v>23</v>
      </c>
      <c r="G13" t="s">
        <v>533</v>
      </c>
      <c r="K13" t="s">
        <v>577</v>
      </c>
      <c r="P13" t="s">
        <v>538</v>
      </c>
      <c r="Q13" t="s">
        <v>578</v>
      </c>
    </row>
    <row r="14" spans="1:24">
      <c r="A14" t="s">
        <v>166</v>
      </c>
      <c r="B14" t="s">
        <v>688</v>
      </c>
      <c r="C14" t="s">
        <v>691</v>
      </c>
      <c r="D14" t="s">
        <v>164</v>
      </c>
      <c r="E14" t="s">
        <v>55</v>
      </c>
      <c r="F14" t="s">
        <v>31</v>
      </c>
      <c r="G14" t="s">
        <v>533</v>
      </c>
      <c r="H14" s="49">
        <v>2025</v>
      </c>
      <c r="I14" t="s">
        <v>533</v>
      </c>
      <c r="J14" t="s">
        <v>533</v>
      </c>
      <c r="K14" t="s">
        <v>566</v>
      </c>
      <c r="L14" t="s">
        <v>533</v>
      </c>
      <c r="M14">
        <v>2025</v>
      </c>
      <c r="N14" t="s">
        <v>533</v>
      </c>
      <c r="O14">
        <v>2025</v>
      </c>
      <c r="Q14" t="s">
        <v>567</v>
      </c>
      <c r="U14" t="s">
        <v>538</v>
      </c>
    </row>
    <row r="15" spans="1:24">
      <c r="A15" t="s">
        <v>383</v>
      </c>
      <c r="B15" t="s">
        <v>688</v>
      </c>
      <c r="D15" t="s">
        <v>350</v>
      </c>
      <c r="E15" t="s">
        <v>21</v>
      </c>
      <c r="F15" t="s">
        <v>23</v>
      </c>
      <c r="G15" t="s">
        <v>533</v>
      </c>
      <c r="I15" t="s">
        <v>533</v>
      </c>
      <c r="J15" t="s">
        <v>533</v>
      </c>
      <c r="K15" t="s">
        <v>533</v>
      </c>
      <c r="L15" t="s">
        <v>533</v>
      </c>
    </row>
    <row r="16" spans="1:24">
      <c r="A16" t="s">
        <v>366</v>
      </c>
      <c r="B16" t="s">
        <v>688</v>
      </c>
      <c r="C16" t="s">
        <v>689</v>
      </c>
      <c r="D16" t="s">
        <v>367</v>
      </c>
      <c r="E16" t="s">
        <v>21</v>
      </c>
      <c r="F16" t="s">
        <v>23</v>
      </c>
      <c r="G16" t="s">
        <v>533</v>
      </c>
      <c r="H16" s="49">
        <v>46090</v>
      </c>
      <c r="P16" t="s">
        <v>538</v>
      </c>
    </row>
    <row r="17" spans="1:24">
      <c r="A17" t="s">
        <v>309</v>
      </c>
      <c r="B17" t="s">
        <v>688</v>
      </c>
      <c r="D17" t="s">
        <v>299</v>
      </c>
      <c r="E17" t="s">
        <v>21</v>
      </c>
      <c r="F17" t="s">
        <v>23</v>
      </c>
      <c r="G17" t="s">
        <v>532</v>
      </c>
      <c r="I17" t="s">
        <v>532</v>
      </c>
      <c r="J17" t="s">
        <v>532</v>
      </c>
      <c r="K17" t="s">
        <v>532</v>
      </c>
      <c r="L17" t="s">
        <v>532</v>
      </c>
      <c r="N17" t="s">
        <v>532</v>
      </c>
    </row>
    <row r="18" spans="1:24">
      <c r="A18" t="s">
        <v>305</v>
      </c>
      <c r="B18" t="s">
        <v>688</v>
      </c>
      <c r="C18" t="s">
        <v>692</v>
      </c>
      <c r="D18" t="s">
        <v>299</v>
      </c>
      <c r="E18" t="s">
        <v>21</v>
      </c>
      <c r="F18" t="s">
        <v>306</v>
      </c>
      <c r="P18" t="s">
        <v>538</v>
      </c>
      <c r="Q18" t="s">
        <v>580</v>
      </c>
    </row>
    <row r="19" spans="1:24">
      <c r="A19" t="s">
        <v>298</v>
      </c>
      <c r="B19" t="s">
        <v>688</v>
      </c>
      <c r="C19" t="s">
        <v>692</v>
      </c>
      <c r="D19" t="s">
        <v>299</v>
      </c>
      <c r="E19" t="s">
        <v>21</v>
      </c>
      <c r="F19" t="s">
        <v>23</v>
      </c>
      <c r="G19" t="s">
        <v>533</v>
      </c>
      <c r="H19">
        <v>2025</v>
      </c>
      <c r="I19" t="s">
        <v>533</v>
      </c>
      <c r="J19" t="s">
        <v>533</v>
      </c>
      <c r="K19" t="s">
        <v>590</v>
      </c>
      <c r="L19" t="s">
        <v>23</v>
      </c>
      <c r="P19" t="s">
        <v>538</v>
      </c>
      <c r="Q19" t="s">
        <v>580</v>
      </c>
      <c r="U19" t="s">
        <v>538</v>
      </c>
    </row>
    <row r="20" spans="1:24">
      <c r="A20" t="s">
        <v>257</v>
      </c>
      <c r="B20" t="s">
        <v>688</v>
      </c>
      <c r="C20" t="s">
        <v>692</v>
      </c>
      <c r="D20" t="s">
        <v>258</v>
      </c>
      <c r="E20" t="s">
        <v>21</v>
      </c>
      <c r="F20" t="s">
        <v>23</v>
      </c>
      <c r="K20" t="s">
        <v>693</v>
      </c>
      <c r="P20" t="s">
        <v>538</v>
      </c>
      <c r="Q20" t="s">
        <v>580</v>
      </c>
      <c r="R20" t="s">
        <v>538</v>
      </c>
    </row>
    <row r="21" spans="1:24">
      <c r="A21" t="s">
        <v>389</v>
      </c>
      <c r="B21" t="s">
        <v>688</v>
      </c>
      <c r="C21" t="s">
        <v>694</v>
      </c>
      <c r="D21" t="s">
        <v>217</v>
      </c>
      <c r="E21" t="s">
        <v>21</v>
      </c>
      <c r="F21" t="s">
        <v>157</v>
      </c>
      <c r="G21" t="s">
        <v>533</v>
      </c>
      <c r="H21" s="49">
        <v>46073</v>
      </c>
      <c r="I21" t="s">
        <v>533</v>
      </c>
      <c r="J21" t="s">
        <v>533</v>
      </c>
      <c r="K21" t="s">
        <v>583</v>
      </c>
      <c r="L21" t="s">
        <v>23</v>
      </c>
      <c r="P21" t="s">
        <v>538</v>
      </c>
      <c r="Q21" t="s">
        <v>582</v>
      </c>
      <c r="T21" t="s">
        <v>538</v>
      </c>
      <c r="V21" t="s">
        <v>538</v>
      </c>
      <c r="W21" t="s">
        <v>538</v>
      </c>
    </row>
    <row r="22" spans="1:24">
      <c r="A22" t="s">
        <v>219</v>
      </c>
      <c r="B22" t="s">
        <v>688</v>
      </c>
      <c r="C22" t="s">
        <v>694</v>
      </c>
      <c r="D22" t="s">
        <v>217</v>
      </c>
      <c r="E22" t="s">
        <v>21</v>
      </c>
      <c r="F22" t="s">
        <v>157</v>
      </c>
    </row>
    <row r="23" spans="1:24">
      <c r="A23" t="s">
        <v>216</v>
      </c>
      <c r="B23" t="s">
        <v>688</v>
      </c>
      <c r="C23" t="s">
        <v>694</v>
      </c>
      <c r="D23" t="s">
        <v>217</v>
      </c>
      <c r="E23" t="s">
        <v>21</v>
      </c>
      <c r="F23" t="s">
        <v>157</v>
      </c>
      <c r="G23" t="s">
        <v>533</v>
      </c>
      <c r="I23" t="s">
        <v>533</v>
      </c>
      <c r="J23" t="s">
        <v>533</v>
      </c>
      <c r="K23" t="s">
        <v>581</v>
      </c>
      <c r="L23" t="s">
        <v>23</v>
      </c>
      <c r="P23" t="s">
        <v>538</v>
      </c>
      <c r="Q23" t="s">
        <v>582</v>
      </c>
      <c r="R23" t="s">
        <v>538</v>
      </c>
      <c r="U23" t="s">
        <v>538</v>
      </c>
    </row>
    <row r="24" spans="1:24">
      <c r="A24" t="s">
        <v>446</v>
      </c>
      <c r="B24" t="s">
        <v>688</v>
      </c>
      <c r="C24" t="s">
        <v>695</v>
      </c>
      <c r="D24" t="s">
        <v>196</v>
      </c>
      <c r="E24" t="s">
        <v>21</v>
      </c>
      <c r="F24" t="s">
        <v>23</v>
      </c>
      <c r="K24" t="s">
        <v>579</v>
      </c>
      <c r="P24" t="s">
        <v>538</v>
      </c>
      <c r="Q24" t="s">
        <v>580</v>
      </c>
      <c r="W24" t="s">
        <v>538</v>
      </c>
    </row>
    <row r="25" spans="1:24">
      <c r="A25" t="s">
        <v>198</v>
      </c>
      <c r="B25" t="s">
        <v>688</v>
      </c>
      <c r="D25" t="s">
        <v>196</v>
      </c>
      <c r="E25" t="s">
        <v>21</v>
      </c>
      <c r="F25" t="s">
        <v>23</v>
      </c>
      <c r="J25" t="s">
        <v>532</v>
      </c>
      <c r="K25" t="s">
        <v>532</v>
      </c>
    </row>
    <row r="26" spans="1:24">
      <c r="A26" t="s">
        <v>195</v>
      </c>
      <c r="B26" t="s">
        <v>688</v>
      </c>
      <c r="C26" t="s">
        <v>690</v>
      </c>
      <c r="D26" t="s">
        <v>196</v>
      </c>
      <c r="E26" t="s">
        <v>21</v>
      </c>
      <c r="F26" t="s">
        <v>23</v>
      </c>
      <c r="G26" t="s">
        <v>533</v>
      </c>
      <c r="H26" s="49">
        <v>46090</v>
      </c>
      <c r="I26" t="s">
        <v>533</v>
      </c>
      <c r="J26" t="s">
        <v>532</v>
      </c>
      <c r="K26" t="s">
        <v>532</v>
      </c>
    </row>
    <row r="27" spans="1:24">
      <c r="A27" t="s">
        <v>177</v>
      </c>
      <c r="B27" t="s">
        <v>688</v>
      </c>
      <c r="C27" t="s">
        <v>689</v>
      </c>
      <c r="D27" t="s">
        <v>172</v>
      </c>
      <c r="E27" t="s">
        <v>21</v>
      </c>
      <c r="F27" t="s">
        <v>23</v>
      </c>
      <c r="J27" t="s">
        <v>533</v>
      </c>
      <c r="K27" t="s">
        <v>576</v>
      </c>
      <c r="P27" t="s">
        <v>538</v>
      </c>
      <c r="Q27" t="s">
        <v>544</v>
      </c>
      <c r="U27" t="s">
        <v>538</v>
      </c>
      <c r="X27" t="s">
        <v>538</v>
      </c>
    </row>
    <row r="28" spans="1:24">
      <c r="A28" t="s">
        <v>175</v>
      </c>
      <c r="B28" t="s">
        <v>688</v>
      </c>
      <c r="C28" t="s">
        <v>690</v>
      </c>
      <c r="D28" t="s">
        <v>172</v>
      </c>
      <c r="E28" t="s">
        <v>21</v>
      </c>
      <c r="F28" t="s">
        <v>23</v>
      </c>
      <c r="J28" t="s">
        <v>533</v>
      </c>
      <c r="K28" t="s">
        <v>575</v>
      </c>
      <c r="P28" t="s">
        <v>538</v>
      </c>
      <c r="Q28" t="s">
        <v>546</v>
      </c>
      <c r="W28" t="s">
        <v>538</v>
      </c>
    </row>
    <row r="29" spans="1:24">
      <c r="A29" t="s">
        <v>173</v>
      </c>
      <c r="B29" t="s">
        <v>688</v>
      </c>
      <c r="C29" t="s">
        <v>694</v>
      </c>
      <c r="D29" t="s">
        <v>172</v>
      </c>
      <c r="E29" t="s">
        <v>21</v>
      </c>
      <c r="F29" t="s">
        <v>157</v>
      </c>
      <c r="G29" t="s">
        <v>533</v>
      </c>
      <c r="J29" t="s">
        <v>533</v>
      </c>
      <c r="K29" t="s">
        <v>570</v>
      </c>
    </row>
    <row r="30" spans="1:24">
      <c r="A30" t="s">
        <v>171</v>
      </c>
      <c r="B30" t="s">
        <v>688</v>
      </c>
      <c r="C30" t="s">
        <v>692</v>
      </c>
      <c r="D30" t="s">
        <v>172</v>
      </c>
      <c r="E30" t="s">
        <v>21</v>
      </c>
      <c r="F30" t="s">
        <v>23</v>
      </c>
      <c r="G30" t="s">
        <v>533</v>
      </c>
      <c r="H30" s="49">
        <v>46090</v>
      </c>
      <c r="I30" t="s">
        <v>533</v>
      </c>
      <c r="J30" t="s">
        <v>533</v>
      </c>
      <c r="K30" t="s">
        <v>568</v>
      </c>
      <c r="L30" t="s">
        <v>533</v>
      </c>
      <c r="P30" t="s">
        <v>569</v>
      </c>
    </row>
    <row r="31" spans="1:24">
      <c r="A31" t="s">
        <v>168</v>
      </c>
      <c r="B31" t="s">
        <v>688</v>
      </c>
      <c r="C31" t="s">
        <v>691</v>
      </c>
      <c r="D31" t="s">
        <v>164</v>
      </c>
      <c r="E31" t="s">
        <v>21</v>
      </c>
      <c r="F31" t="s">
        <v>23</v>
      </c>
      <c r="K31" t="s">
        <v>573</v>
      </c>
      <c r="P31" t="s">
        <v>538</v>
      </c>
      <c r="Q31" t="s">
        <v>574</v>
      </c>
      <c r="X31" t="s">
        <v>538</v>
      </c>
    </row>
    <row r="32" spans="1:24">
      <c r="A32" t="s">
        <v>162</v>
      </c>
      <c r="B32" t="s">
        <v>688</v>
      </c>
      <c r="C32" t="s">
        <v>690</v>
      </c>
      <c r="D32" t="s">
        <v>164</v>
      </c>
      <c r="E32" t="s">
        <v>21</v>
      </c>
      <c r="F32" t="s">
        <v>23</v>
      </c>
      <c r="G32" t="s">
        <v>533</v>
      </c>
      <c r="H32" s="49">
        <v>46125</v>
      </c>
      <c r="J32" t="s">
        <v>533</v>
      </c>
      <c r="K32" t="s">
        <v>571</v>
      </c>
      <c r="P32" t="s">
        <v>538</v>
      </c>
      <c r="Q32" t="s">
        <v>572</v>
      </c>
      <c r="W32" t="s">
        <v>538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1359-997A-4B32-9D61-32137B644E20}">
  <dimension ref="A4:B46"/>
  <sheetViews>
    <sheetView workbookViewId="0">
      <selection activeCell="D27" sqref="D27"/>
    </sheetView>
  </sheetViews>
  <sheetFormatPr baseColWidth="10" defaultColWidth="8.83203125" defaultRowHeight="15"/>
  <cols>
    <col min="1" max="1" width="12.83203125" bestFit="1" customWidth="1"/>
    <col min="2" max="2" width="30.5" bestFit="1" customWidth="1"/>
    <col min="3" max="3" width="5.5" bestFit="1" customWidth="1"/>
    <col min="4" max="4" width="4.6640625" bestFit="1" customWidth="1"/>
    <col min="5" max="5" width="4.1640625" bestFit="1" customWidth="1"/>
    <col min="6" max="6" width="3.5" bestFit="1" customWidth="1"/>
    <col min="7" max="7" width="8" bestFit="1" customWidth="1"/>
    <col min="8" max="8" width="4.5" bestFit="1" customWidth="1"/>
    <col min="9" max="9" width="10.6640625" bestFit="1" customWidth="1"/>
    <col min="10" max="10" width="14.6640625" bestFit="1" customWidth="1"/>
    <col min="11" max="11" width="12.1640625" bestFit="1" customWidth="1"/>
    <col min="12" max="12" width="18.6640625" bestFit="1" customWidth="1"/>
    <col min="13" max="13" width="13.33203125" bestFit="1" customWidth="1"/>
    <col min="14" max="14" width="11.1640625" bestFit="1" customWidth="1"/>
    <col min="15" max="15" width="11" bestFit="1" customWidth="1"/>
    <col min="16" max="16" width="10.33203125" bestFit="1" customWidth="1"/>
    <col min="17" max="17" width="14" bestFit="1" customWidth="1"/>
    <col min="18" max="18" width="12.33203125" bestFit="1" customWidth="1"/>
    <col min="19" max="19" width="19.1640625" bestFit="1" customWidth="1"/>
    <col min="20" max="20" width="14.6640625" bestFit="1" customWidth="1"/>
    <col min="21" max="21" width="16" bestFit="1" customWidth="1"/>
    <col min="22" max="22" width="13.5" bestFit="1" customWidth="1"/>
    <col min="23" max="23" width="13.6640625" bestFit="1" customWidth="1"/>
    <col min="24" max="24" width="13.83203125" bestFit="1" customWidth="1"/>
    <col min="25" max="26" width="17.1640625" bestFit="1" customWidth="1"/>
    <col min="27" max="27" width="14.5" bestFit="1" customWidth="1"/>
    <col min="28" max="28" width="15.5" bestFit="1" customWidth="1"/>
    <col min="29" max="29" width="14.83203125" bestFit="1" customWidth="1"/>
    <col min="30" max="30" width="14.6640625" bestFit="1" customWidth="1"/>
    <col min="31" max="31" width="17.83203125" bestFit="1" customWidth="1"/>
    <col min="32" max="32" width="13.6640625" bestFit="1" customWidth="1"/>
    <col min="33" max="33" width="14.5" bestFit="1" customWidth="1"/>
    <col min="34" max="34" width="12.1640625" bestFit="1" customWidth="1"/>
    <col min="35" max="35" width="15.5" bestFit="1" customWidth="1"/>
    <col min="36" max="36" width="11" bestFit="1" customWidth="1"/>
    <col min="37" max="37" width="14.6640625" bestFit="1" customWidth="1"/>
    <col min="38" max="38" width="5.5" bestFit="1" customWidth="1"/>
    <col min="39" max="39" width="11.5" bestFit="1" customWidth="1"/>
  </cols>
  <sheetData>
    <row r="4" spans="1:2">
      <c r="A4" s="118" t="s">
        <v>696</v>
      </c>
      <c r="B4" t="s">
        <v>697</v>
      </c>
    </row>
    <row r="5" spans="1:2">
      <c r="A5" s="119" t="s">
        <v>384</v>
      </c>
      <c r="B5">
        <v>1</v>
      </c>
    </row>
    <row r="6" spans="1:2">
      <c r="A6" s="119" t="s">
        <v>31</v>
      </c>
      <c r="B6">
        <v>13</v>
      </c>
    </row>
    <row r="7" spans="1:2">
      <c r="A7" s="119" t="s">
        <v>306</v>
      </c>
      <c r="B7">
        <v>21</v>
      </c>
    </row>
    <row r="8" spans="1:2">
      <c r="A8" s="119" t="s">
        <v>157</v>
      </c>
      <c r="B8">
        <v>5</v>
      </c>
    </row>
    <row r="9" spans="1:2">
      <c r="A9" s="119" t="s">
        <v>23</v>
      </c>
      <c r="B9">
        <v>63</v>
      </c>
    </row>
    <row r="10" spans="1:2">
      <c r="A10" s="119" t="s">
        <v>698</v>
      </c>
      <c r="B10">
        <v>103</v>
      </c>
    </row>
    <row r="21" spans="1:2">
      <c r="A21" s="118" t="s">
        <v>696</v>
      </c>
      <c r="B21" t="s">
        <v>697</v>
      </c>
    </row>
    <row r="22" spans="1:2">
      <c r="A22" s="119" t="s">
        <v>52</v>
      </c>
      <c r="B22">
        <v>13</v>
      </c>
    </row>
    <row r="23" spans="1:2">
      <c r="A23" s="119" t="s">
        <v>77</v>
      </c>
      <c r="B23">
        <v>22</v>
      </c>
    </row>
    <row r="24" spans="1:2">
      <c r="A24" s="119" t="s">
        <v>18</v>
      </c>
      <c r="B24">
        <v>38</v>
      </c>
    </row>
    <row r="25" spans="1:2">
      <c r="A25" s="119" t="s">
        <v>163</v>
      </c>
      <c r="B25">
        <v>30</v>
      </c>
    </row>
    <row r="26" spans="1:2">
      <c r="A26" s="119" t="s">
        <v>698</v>
      </c>
      <c r="B26">
        <v>103</v>
      </c>
    </row>
    <row r="38" spans="1:2">
      <c r="A38" s="118" t="s">
        <v>696</v>
      </c>
      <c r="B38" t="s">
        <v>697</v>
      </c>
    </row>
    <row r="39" spans="1:2">
      <c r="A39" s="119" t="s">
        <v>120</v>
      </c>
      <c r="B39">
        <v>6</v>
      </c>
    </row>
    <row r="40" spans="1:2">
      <c r="A40" s="119" t="s">
        <v>191</v>
      </c>
      <c r="B40">
        <v>3</v>
      </c>
    </row>
    <row r="41" spans="1:2">
      <c r="A41" s="119" t="s">
        <v>60</v>
      </c>
      <c r="B41">
        <v>17</v>
      </c>
    </row>
    <row r="42" spans="1:2">
      <c r="A42" s="119" t="s">
        <v>39</v>
      </c>
      <c r="B42">
        <v>16</v>
      </c>
    </row>
    <row r="43" spans="1:2">
      <c r="A43" s="119" t="s">
        <v>24</v>
      </c>
      <c r="B43">
        <v>50</v>
      </c>
    </row>
    <row r="44" spans="1:2">
      <c r="A44" s="119" t="s">
        <v>35</v>
      </c>
      <c r="B44">
        <v>10</v>
      </c>
    </row>
    <row r="45" spans="1:2">
      <c r="A45" s="119" t="s">
        <v>194</v>
      </c>
      <c r="B45">
        <v>1</v>
      </c>
    </row>
    <row r="46" spans="1:2">
      <c r="A46" s="119" t="s">
        <v>698</v>
      </c>
      <c r="B46">
        <v>103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D7044-00B1-4797-8E17-47C3E5F0D45C}">
  <sheetPr>
    <tabColor theme="1" tint="0.14999847407452621"/>
  </sheetPr>
  <dimension ref="B2:AH67"/>
  <sheetViews>
    <sheetView zoomScale="80" zoomScaleNormal="80" workbookViewId="0">
      <selection activeCell="G8" sqref="G8"/>
    </sheetView>
  </sheetViews>
  <sheetFormatPr baseColWidth="10" defaultColWidth="8.83203125" defaultRowHeight="15"/>
  <cols>
    <col min="2" max="6" width="15" customWidth="1"/>
    <col min="7" max="7" width="18.5" bestFit="1" customWidth="1"/>
    <col min="8" max="14" width="15" customWidth="1"/>
    <col min="15" max="15" width="11.1640625" customWidth="1"/>
    <col min="16" max="28" width="0" hidden="1" customWidth="1"/>
    <col min="29" max="29" width="1.83203125" customWidth="1"/>
    <col min="32" max="32" width="15.5" customWidth="1"/>
    <col min="33" max="33" width="19" customWidth="1"/>
    <col min="34" max="34" width="28.5" customWidth="1"/>
  </cols>
  <sheetData>
    <row r="2" spans="2:34" ht="64">
      <c r="B2" s="28" t="s">
        <v>509</v>
      </c>
      <c r="C2" s="28" t="s">
        <v>699</v>
      </c>
      <c r="D2" s="28" t="s">
        <v>700</v>
      </c>
      <c r="E2" s="28" t="s">
        <v>11</v>
      </c>
      <c r="F2" s="28" t="s">
        <v>8</v>
      </c>
      <c r="G2" s="58" t="s">
        <v>701</v>
      </c>
      <c r="H2" s="58" t="s">
        <v>702</v>
      </c>
      <c r="I2" s="58" t="s">
        <v>703</v>
      </c>
      <c r="J2" s="58" t="s">
        <v>515</v>
      </c>
      <c r="K2" s="58" t="s">
        <v>517</v>
      </c>
      <c r="L2" s="58" t="s">
        <v>704</v>
      </c>
      <c r="M2" s="58" t="s">
        <v>519</v>
      </c>
      <c r="N2" s="58" t="s">
        <v>705</v>
      </c>
      <c r="O2" s="58" t="s">
        <v>706</v>
      </c>
      <c r="AF2" s="61" t="s">
        <v>707</v>
      </c>
      <c r="AG2" s="61" t="s">
        <v>635</v>
      </c>
      <c r="AH2" s="61" t="s">
        <v>634</v>
      </c>
    </row>
    <row r="3" spans="2:34">
      <c r="B3" s="27" t="s">
        <v>52</v>
      </c>
      <c r="C3" s="55" t="s">
        <v>53</v>
      </c>
      <c r="D3" s="29" t="s">
        <v>21</v>
      </c>
      <c r="E3" s="25" t="s">
        <v>191</v>
      </c>
      <c r="F3" s="26" t="s">
        <v>306</v>
      </c>
      <c r="G3" s="57" t="s">
        <v>533</v>
      </c>
      <c r="H3" s="108"/>
      <c r="I3" s="57" t="s">
        <v>533</v>
      </c>
      <c r="J3" s="57" t="s">
        <v>533</v>
      </c>
      <c r="K3" s="57"/>
      <c r="L3" s="57" t="s">
        <v>533</v>
      </c>
      <c r="M3" s="108"/>
      <c r="N3" s="57" t="s">
        <v>533</v>
      </c>
      <c r="O3" s="108"/>
      <c r="AF3" s="62" t="s">
        <v>708</v>
      </c>
      <c r="AG3" s="62" t="s">
        <v>20</v>
      </c>
      <c r="AH3" s="62" t="s">
        <v>18</v>
      </c>
    </row>
    <row r="4" spans="2:34">
      <c r="B4" s="26" t="s">
        <v>77</v>
      </c>
      <c r="C4" s="55" t="s">
        <v>129</v>
      </c>
      <c r="D4" s="30" t="s">
        <v>55</v>
      </c>
      <c r="E4" s="25" t="s">
        <v>60</v>
      </c>
      <c r="F4" s="59" t="s">
        <v>384</v>
      </c>
      <c r="G4" s="68" t="s">
        <v>532</v>
      </c>
      <c r="I4" s="57" t="s">
        <v>532</v>
      </c>
      <c r="J4" s="57" t="s">
        <v>532</v>
      </c>
      <c r="K4" s="68"/>
      <c r="L4" s="57" t="s">
        <v>532</v>
      </c>
      <c r="M4" s="57"/>
      <c r="N4" s="57" t="s">
        <v>532</v>
      </c>
      <c r="O4" s="57"/>
      <c r="AF4" s="62" t="s">
        <v>43</v>
      </c>
      <c r="AG4" s="62" t="s">
        <v>43</v>
      </c>
      <c r="AH4" s="62" t="s">
        <v>18</v>
      </c>
    </row>
    <row r="5" spans="2:34">
      <c r="B5" s="26" t="s">
        <v>163</v>
      </c>
      <c r="C5" s="55" t="s">
        <v>18</v>
      </c>
      <c r="D5" s="56"/>
      <c r="E5" s="26" t="s">
        <v>39</v>
      </c>
      <c r="F5" s="66" t="s">
        <v>23</v>
      </c>
      <c r="G5" s="55" t="s">
        <v>23</v>
      </c>
      <c r="I5" s="55" t="s">
        <v>23</v>
      </c>
      <c r="K5" s="55"/>
      <c r="L5" s="55" t="s">
        <v>23</v>
      </c>
      <c r="M5" s="55"/>
      <c r="N5" s="55" t="s">
        <v>23</v>
      </c>
      <c r="AF5" s="62" t="s">
        <v>709</v>
      </c>
      <c r="AG5" s="62" t="s">
        <v>710</v>
      </c>
      <c r="AH5" s="62" t="s">
        <v>711</v>
      </c>
    </row>
    <row r="6" spans="2:34">
      <c r="B6" s="26" t="s">
        <v>18</v>
      </c>
      <c r="C6" s="55" t="s">
        <v>126</v>
      </c>
      <c r="D6" s="56"/>
      <c r="E6" s="25" t="s">
        <v>120</v>
      </c>
      <c r="F6" s="67" t="s">
        <v>31</v>
      </c>
      <c r="G6" s="55" t="s">
        <v>545</v>
      </c>
      <c r="I6" s="55" t="s">
        <v>545</v>
      </c>
      <c r="L6" s="55" t="s">
        <v>545</v>
      </c>
      <c r="M6" s="55"/>
      <c r="N6" s="55" t="s">
        <v>545</v>
      </c>
      <c r="AF6" s="62" t="s">
        <v>54</v>
      </c>
      <c r="AG6" s="62" t="s">
        <v>54</v>
      </c>
      <c r="AH6" s="62" t="s">
        <v>712</v>
      </c>
    </row>
    <row r="7" spans="2:34">
      <c r="B7" s="56"/>
      <c r="C7" s="55" t="s">
        <v>78</v>
      </c>
      <c r="D7" s="56"/>
      <c r="E7" s="25" t="s">
        <v>237</v>
      </c>
      <c r="F7" s="55" t="s">
        <v>157</v>
      </c>
      <c r="G7" s="55" t="s">
        <v>628</v>
      </c>
      <c r="AF7" s="62" t="s">
        <v>713</v>
      </c>
      <c r="AG7" s="62" t="s">
        <v>714</v>
      </c>
      <c r="AH7" s="62" t="s">
        <v>711</v>
      </c>
    </row>
    <row r="8" spans="2:34">
      <c r="B8" s="56"/>
      <c r="C8" s="55" t="s">
        <v>715</v>
      </c>
      <c r="D8" s="56"/>
      <c r="E8" s="25" t="s">
        <v>24</v>
      </c>
      <c r="F8" s="56"/>
      <c r="AF8" s="62" t="s">
        <v>716</v>
      </c>
      <c r="AG8" s="62" t="s">
        <v>717</v>
      </c>
      <c r="AH8" s="62" t="s">
        <v>18</v>
      </c>
    </row>
    <row r="9" spans="2:34">
      <c r="B9" s="56"/>
      <c r="C9" s="55" t="s">
        <v>19</v>
      </c>
      <c r="D9" s="56"/>
      <c r="E9" s="25" t="s">
        <v>194</v>
      </c>
      <c r="F9" s="56"/>
      <c r="AF9" s="62" t="s">
        <v>718</v>
      </c>
      <c r="AG9" s="62" t="s">
        <v>79</v>
      </c>
      <c r="AH9" s="62" t="s">
        <v>719</v>
      </c>
    </row>
    <row r="10" spans="2:34">
      <c r="B10" s="56"/>
      <c r="C10" s="56"/>
      <c r="D10" s="56"/>
      <c r="E10" s="25" t="s">
        <v>35</v>
      </c>
      <c r="F10" s="56"/>
      <c r="AF10" s="62" t="s">
        <v>83</v>
      </c>
      <c r="AG10" s="62" t="s">
        <v>83</v>
      </c>
      <c r="AH10" s="62" t="s">
        <v>712</v>
      </c>
    </row>
    <row r="11" spans="2:34">
      <c r="AF11" s="62" t="s">
        <v>720</v>
      </c>
      <c r="AG11" s="62" t="s">
        <v>720</v>
      </c>
      <c r="AH11" s="62" t="s">
        <v>712</v>
      </c>
    </row>
    <row r="12" spans="2:34">
      <c r="AF12" s="62" t="s">
        <v>721</v>
      </c>
      <c r="AG12" s="62" t="s">
        <v>155</v>
      </c>
      <c r="AH12" s="62" t="s">
        <v>18</v>
      </c>
    </row>
    <row r="13" spans="2:34">
      <c r="AF13" s="62" t="s">
        <v>722</v>
      </c>
      <c r="AG13" s="62" t="s">
        <v>723</v>
      </c>
      <c r="AH13" s="62" t="s">
        <v>711</v>
      </c>
    </row>
    <row r="14" spans="2:34">
      <c r="AF14" s="62" t="s">
        <v>724</v>
      </c>
      <c r="AG14" s="62" t="s">
        <v>164</v>
      </c>
      <c r="AH14" s="62" t="s">
        <v>655</v>
      </c>
    </row>
    <row r="15" spans="2:34">
      <c r="AF15" s="62" t="s">
        <v>725</v>
      </c>
      <c r="AG15" s="62" t="s">
        <v>726</v>
      </c>
      <c r="AH15" s="62" t="s">
        <v>18</v>
      </c>
    </row>
    <row r="16" spans="2:34">
      <c r="AF16" s="62" t="s">
        <v>727</v>
      </c>
      <c r="AG16" s="62" t="s">
        <v>196</v>
      </c>
      <c r="AH16" s="62" t="s">
        <v>655</v>
      </c>
    </row>
    <row r="17" spans="32:34">
      <c r="AF17" s="62" t="s">
        <v>728</v>
      </c>
      <c r="AG17" s="62" t="s">
        <v>729</v>
      </c>
      <c r="AH17" s="62" t="s">
        <v>18</v>
      </c>
    </row>
    <row r="18" spans="32:34">
      <c r="AF18" s="62" t="s">
        <v>730</v>
      </c>
      <c r="AG18" s="62" t="s">
        <v>201</v>
      </c>
      <c r="AH18" s="62" t="s">
        <v>18</v>
      </c>
    </row>
    <row r="19" spans="32:34">
      <c r="AF19" s="57" t="s">
        <v>731</v>
      </c>
      <c r="AG19" s="57" t="s">
        <v>732</v>
      </c>
      <c r="AH19" s="62" t="s">
        <v>733</v>
      </c>
    </row>
    <row r="20" spans="32:34">
      <c r="AF20" s="62" t="s">
        <v>734</v>
      </c>
      <c r="AG20" s="62" t="s">
        <v>208</v>
      </c>
      <c r="AH20" s="62" t="s">
        <v>18</v>
      </c>
    </row>
    <row r="21" spans="32:34">
      <c r="AF21" s="62" t="s">
        <v>735</v>
      </c>
      <c r="AG21" s="62" t="s">
        <v>217</v>
      </c>
      <c r="AH21" s="62" t="s">
        <v>655</v>
      </c>
    </row>
    <row r="22" spans="32:34">
      <c r="AF22" s="62" t="s">
        <v>736</v>
      </c>
      <c r="AG22" s="62" t="s">
        <v>242</v>
      </c>
      <c r="AH22" s="62" t="s">
        <v>18</v>
      </c>
    </row>
    <row r="23" spans="32:34">
      <c r="AF23" s="63" t="s">
        <v>737</v>
      </c>
      <c r="AG23" s="63" t="s">
        <v>738</v>
      </c>
      <c r="AH23" s="62" t="s">
        <v>733</v>
      </c>
    </row>
    <row r="24" spans="32:34">
      <c r="AF24" s="62" t="s">
        <v>739</v>
      </c>
      <c r="AG24" s="62" t="s">
        <v>657</v>
      </c>
      <c r="AH24" s="62" t="s">
        <v>655</v>
      </c>
    </row>
    <row r="25" spans="32:34">
      <c r="AF25" s="62" t="s">
        <v>740</v>
      </c>
      <c r="AG25" s="62" t="s">
        <v>258</v>
      </c>
      <c r="AH25" s="62" t="s">
        <v>655</v>
      </c>
    </row>
    <row r="26" spans="32:34">
      <c r="AF26" s="62" t="s">
        <v>741</v>
      </c>
      <c r="AG26" s="62" t="s">
        <v>264</v>
      </c>
      <c r="AH26" s="62" t="s">
        <v>719</v>
      </c>
    </row>
    <row r="27" spans="32:34">
      <c r="AF27" s="63" t="s">
        <v>742</v>
      </c>
      <c r="AG27" s="63" t="s">
        <v>743</v>
      </c>
      <c r="AH27" s="62" t="s">
        <v>733</v>
      </c>
    </row>
    <row r="28" spans="32:34">
      <c r="AF28" s="57" t="s">
        <v>744</v>
      </c>
      <c r="AG28" s="57" t="s">
        <v>745</v>
      </c>
      <c r="AH28" s="62" t="s">
        <v>746</v>
      </c>
    </row>
    <row r="29" spans="32:34">
      <c r="AF29" s="62" t="s">
        <v>747</v>
      </c>
      <c r="AG29" s="62" t="s">
        <v>748</v>
      </c>
      <c r="AH29" s="62" t="s">
        <v>18</v>
      </c>
    </row>
    <row r="30" spans="32:34">
      <c r="AF30" s="63" t="s">
        <v>749</v>
      </c>
      <c r="AG30" s="63" t="s">
        <v>750</v>
      </c>
      <c r="AH30" s="62" t="s">
        <v>655</v>
      </c>
    </row>
    <row r="31" spans="32:34">
      <c r="AF31" s="62" t="s">
        <v>751</v>
      </c>
      <c r="AG31" s="62" t="s">
        <v>661</v>
      </c>
      <c r="AH31" s="62" t="s">
        <v>655</v>
      </c>
    </row>
    <row r="32" spans="32:34">
      <c r="AF32" s="62" t="s">
        <v>752</v>
      </c>
      <c r="AG32" s="62" t="s">
        <v>277</v>
      </c>
      <c r="AH32" s="62" t="s">
        <v>719</v>
      </c>
    </row>
    <row r="33" spans="32:34">
      <c r="AF33" s="62" t="s">
        <v>753</v>
      </c>
      <c r="AG33" s="62" t="s">
        <v>659</v>
      </c>
      <c r="AH33" s="62" t="s">
        <v>719</v>
      </c>
    </row>
    <row r="34" spans="32:34">
      <c r="AF34" s="62" t="s">
        <v>299</v>
      </c>
      <c r="AG34" s="62" t="s">
        <v>299</v>
      </c>
      <c r="AH34" s="62" t="s">
        <v>655</v>
      </c>
    </row>
    <row r="35" spans="32:34">
      <c r="AF35" s="57" t="s">
        <v>754</v>
      </c>
      <c r="AG35" s="57" t="s">
        <v>755</v>
      </c>
      <c r="AH35" s="62" t="s">
        <v>746</v>
      </c>
    </row>
    <row r="36" spans="32:34">
      <c r="AF36" s="62" t="s">
        <v>756</v>
      </c>
      <c r="AG36" s="62" t="s">
        <v>757</v>
      </c>
      <c r="AH36" s="62" t="s">
        <v>655</v>
      </c>
    </row>
    <row r="37" spans="32:34">
      <c r="AF37" s="62" t="s">
        <v>758</v>
      </c>
      <c r="AG37" s="62" t="s">
        <v>758</v>
      </c>
      <c r="AH37" s="62" t="s">
        <v>655</v>
      </c>
    </row>
    <row r="38" spans="32:34">
      <c r="AF38" s="62" t="s">
        <v>759</v>
      </c>
      <c r="AG38" s="62" t="s">
        <v>479</v>
      </c>
      <c r="AH38" s="62" t="s">
        <v>18</v>
      </c>
    </row>
    <row r="39" spans="32:34">
      <c r="AF39" s="62" t="s">
        <v>313</v>
      </c>
      <c r="AG39" s="62" t="s">
        <v>313</v>
      </c>
      <c r="AH39" s="62" t="s">
        <v>719</v>
      </c>
    </row>
    <row r="40" spans="32:34">
      <c r="AF40" s="62" t="s">
        <v>760</v>
      </c>
      <c r="AG40" s="62" t="s">
        <v>325</v>
      </c>
      <c r="AH40" s="62" t="s">
        <v>18</v>
      </c>
    </row>
    <row r="41" spans="32:34">
      <c r="AF41" s="62" t="s">
        <v>761</v>
      </c>
      <c r="AG41" s="62" t="s">
        <v>330</v>
      </c>
      <c r="AH41" s="62" t="s">
        <v>719</v>
      </c>
    </row>
    <row r="42" spans="32:34">
      <c r="AF42" s="62" t="s">
        <v>762</v>
      </c>
      <c r="AG42" s="62" t="s">
        <v>763</v>
      </c>
      <c r="AH42" s="62" t="s">
        <v>655</v>
      </c>
    </row>
    <row r="43" spans="32:34">
      <c r="AF43" s="62" t="s">
        <v>764</v>
      </c>
      <c r="AG43" s="62" t="s">
        <v>765</v>
      </c>
      <c r="AH43" s="62" t="s">
        <v>18</v>
      </c>
    </row>
    <row r="44" spans="32:34">
      <c r="AF44" s="62" t="s">
        <v>660</v>
      </c>
      <c r="AG44" s="62" t="s">
        <v>660</v>
      </c>
      <c r="AH44" s="62" t="s">
        <v>18</v>
      </c>
    </row>
    <row r="45" spans="32:34">
      <c r="AF45" s="62" t="s">
        <v>766</v>
      </c>
      <c r="AG45" s="62" t="s">
        <v>767</v>
      </c>
      <c r="AH45" s="62" t="s">
        <v>18</v>
      </c>
    </row>
    <row r="46" spans="32:34">
      <c r="AF46" s="62" t="s">
        <v>768</v>
      </c>
      <c r="AG46" s="62" t="s">
        <v>336</v>
      </c>
      <c r="AH46" s="62" t="s">
        <v>719</v>
      </c>
    </row>
    <row r="47" spans="32:34">
      <c r="AF47" s="62" t="s">
        <v>769</v>
      </c>
      <c r="AG47" s="62" t="s">
        <v>770</v>
      </c>
      <c r="AH47" s="62" t="s">
        <v>711</v>
      </c>
    </row>
    <row r="48" spans="32:34">
      <c r="AF48" s="62" t="s">
        <v>771</v>
      </c>
      <c r="AG48" s="62" t="s">
        <v>772</v>
      </c>
      <c r="AH48" s="62" t="s">
        <v>711</v>
      </c>
    </row>
    <row r="49" spans="32:34">
      <c r="AF49" s="62" t="s">
        <v>367</v>
      </c>
      <c r="AG49" s="62" t="s">
        <v>367</v>
      </c>
      <c r="AH49" s="62" t="s">
        <v>655</v>
      </c>
    </row>
    <row r="50" spans="32:34">
      <c r="AF50" s="63" t="s">
        <v>773</v>
      </c>
      <c r="AG50" s="63" t="s">
        <v>774</v>
      </c>
      <c r="AH50" s="62" t="s">
        <v>746</v>
      </c>
    </row>
    <row r="51" spans="32:34">
      <c r="AF51" s="62" t="s">
        <v>775</v>
      </c>
      <c r="AG51" s="62" t="s">
        <v>776</v>
      </c>
      <c r="AH51" s="62" t="s">
        <v>655</v>
      </c>
    </row>
    <row r="52" spans="32:34">
      <c r="AF52" s="57" t="s">
        <v>777</v>
      </c>
      <c r="AG52" s="57" t="s">
        <v>778</v>
      </c>
      <c r="AH52" s="62" t="s">
        <v>746</v>
      </c>
    </row>
    <row r="53" spans="32:34">
      <c r="AF53" s="57" t="s">
        <v>777</v>
      </c>
      <c r="AG53" s="57" t="s">
        <v>778</v>
      </c>
      <c r="AH53" s="62" t="s">
        <v>746</v>
      </c>
    </row>
    <row r="54" spans="32:34">
      <c r="AF54" s="62" t="s">
        <v>779</v>
      </c>
      <c r="AG54" s="62" t="s">
        <v>362</v>
      </c>
      <c r="AH54" s="62" t="s">
        <v>712</v>
      </c>
    </row>
    <row r="55" spans="32:34">
      <c r="AF55" s="62" t="s">
        <v>780</v>
      </c>
      <c r="AG55" s="62" t="s">
        <v>451</v>
      </c>
      <c r="AH55" s="62" t="s">
        <v>18</v>
      </c>
    </row>
    <row r="56" spans="32:34">
      <c r="AF56" s="57" t="s">
        <v>781</v>
      </c>
      <c r="AG56" s="57" t="s">
        <v>782</v>
      </c>
      <c r="AH56" s="62" t="s">
        <v>655</v>
      </c>
    </row>
    <row r="57" spans="32:34">
      <c r="AF57" s="62" t="s">
        <v>783</v>
      </c>
      <c r="AG57" s="62" t="s">
        <v>371</v>
      </c>
      <c r="AH57" s="62" t="s">
        <v>18</v>
      </c>
    </row>
    <row r="58" spans="32:34">
      <c r="AF58" s="62" t="s">
        <v>784</v>
      </c>
      <c r="AG58" s="62" t="s">
        <v>785</v>
      </c>
      <c r="AH58" s="62" t="s">
        <v>655</v>
      </c>
    </row>
    <row r="59" spans="32:34">
      <c r="AF59" s="64" t="s">
        <v>786</v>
      </c>
      <c r="AG59" s="64" t="s">
        <v>350</v>
      </c>
      <c r="AH59" s="64" t="s">
        <v>655</v>
      </c>
    </row>
    <row r="60" spans="32:34">
      <c r="AF60" s="62" t="s">
        <v>787</v>
      </c>
      <c r="AG60" s="62" t="s">
        <v>444</v>
      </c>
      <c r="AH60" s="62" t="s">
        <v>655</v>
      </c>
    </row>
    <row r="61" spans="32:34">
      <c r="AF61" s="57" t="s">
        <v>788</v>
      </c>
      <c r="AG61" s="57" t="s">
        <v>544</v>
      </c>
      <c r="AH61" s="57" t="s">
        <v>655</v>
      </c>
    </row>
    <row r="62" spans="32:34">
      <c r="AF62" s="57" t="s">
        <v>789</v>
      </c>
      <c r="AG62" s="57" t="s">
        <v>223</v>
      </c>
      <c r="AH62" s="57" t="s">
        <v>655</v>
      </c>
    </row>
    <row r="63" spans="32:34">
      <c r="AF63" s="62" t="s">
        <v>790</v>
      </c>
      <c r="AG63" s="62" t="s">
        <v>172</v>
      </c>
      <c r="AH63" s="62" t="s">
        <v>655</v>
      </c>
    </row>
    <row r="64" spans="32:34">
      <c r="AG64" s="7" t="s">
        <v>250</v>
      </c>
      <c r="AH64" s="65" t="s">
        <v>18</v>
      </c>
    </row>
    <row r="65" spans="32:34">
      <c r="AG65" s="7" t="s">
        <v>271</v>
      </c>
      <c r="AH65" s="65" t="s">
        <v>18</v>
      </c>
    </row>
    <row r="66" spans="32:34">
      <c r="AG66" s="7" t="s">
        <v>754</v>
      </c>
      <c r="AH66" s="62" t="s">
        <v>746</v>
      </c>
    </row>
    <row r="67" spans="32:34">
      <c r="AF67" t="s">
        <v>791</v>
      </c>
      <c r="AG67" t="s">
        <v>658</v>
      </c>
      <c r="AH67" s="62" t="s">
        <v>655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AC71CBFFAB748A1254D3685CB836D" ma:contentTypeVersion="6" ma:contentTypeDescription="Create a new document." ma:contentTypeScope="" ma:versionID="db33901e2ab31f4818047272c3d4bb84">
  <xsd:schema xmlns:xsd="http://www.w3.org/2001/XMLSchema" xmlns:xs="http://www.w3.org/2001/XMLSchema" xmlns:p="http://schemas.microsoft.com/office/2006/metadata/properties" xmlns:ns2="cb9b8e19-05c6-45d6-a269-b3ac1248d174" xmlns:ns3="0cf4979e-db03-4f4a-a57c-d8af81fe2f2a" targetNamespace="http://schemas.microsoft.com/office/2006/metadata/properties" ma:root="true" ma:fieldsID="978c9b276f8fad4b3d87d0965e526fc0" ns2:_="" ns3:_="">
    <xsd:import namespace="cb9b8e19-05c6-45d6-a269-b3ac1248d174"/>
    <xsd:import namespace="0cf4979e-db03-4f4a-a57c-d8af81fe2f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b8e19-05c6-45d6-a269-b3ac1248d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f4979e-db03-4f4a-a57c-d8af81fe2f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8CD8BE-31D6-4BB5-AA1E-0319A97B8FD9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cb9b8e19-05c6-45d6-a269-b3ac1248d174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cf4979e-db03-4f4a-a57c-d8af81fe2f2a"/>
  </ds:schemaRefs>
</ds:datastoreItem>
</file>

<file path=customXml/itemProps2.xml><?xml version="1.0" encoding="utf-8"?>
<ds:datastoreItem xmlns:ds="http://schemas.openxmlformats.org/officeDocument/2006/customXml" ds:itemID="{6E53683B-5425-4CE9-9211-153C41E6D4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b8e19-05c6-45d6-a269-b3ac1248d174"/>
    <ds:schemaRef ds:uri="0cf4979e-db03-4f4a-a57c-d8af81fe2f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80A60D-F491-40BE-A66A-3984376BAB3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List 2026</vt:lpstr>
      <vt:lpstr>Project documentation</vt:lpstr>
      <vt:lpstr>Individual Allocation</vt:lpstr>
      <vt:lpstr>Utilization Overview</vt:lpstr>
      <vt:lpstr>Detail1</vt:lpstr>
      <vt:lpstr>Statistics</vt:lpstr>
      <vt:lpstr>RefData</vt:lpstr>
    </vt:vector>
  </TitlesOfParts>
  <Manager/>
  <Company>DHL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Veronika Zelenohorska (DHL IT Services)</dc:creator>
  <cp:keywords/>
  <dc:description/>
  <cp:lastModifiedBy>Martin Fojtek (DHL IT Services)</cp:lastModifiedBy>
  <cp:revision/>
  <dcterms:created xsi:type="dcterms:W3CDTF">2026-01-20T08:57:29Z</dcterms:created>
  <dcterms:modified xsi:type="dcterms:W3CDTF">2026-07-17T18:53:49Z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0x010100DC8AC71CBFFAB748A1254D3685CB836D</vt:lpwstr>
  </property>
</Properties>
</file>